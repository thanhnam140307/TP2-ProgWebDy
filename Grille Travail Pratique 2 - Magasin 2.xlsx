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cegepsaintefoy-my.sharepoint.com/personal/vtremblayboucher_csfoy_ca/Documents/"/>
    </mc:Choice>
  </mc:AlternateContent>
  <xr:revisionPtr revIDLastSave="12" documentId="8_{5C4D87A9-0BAB-4FD2-8B99-654F44850AD8}" xr6:coauthVersionLast="47" xr6:coauthVersionMax="47" xr10:uidLastSave="{0FFF0DB2-E33C-460B-8AF0-75E53D1F013C}"/>
  <bookViews>
    <workbookView xWindow="-108" yWindow="-108" windowWidth="23256" windowHeight="13896" tabRatio="285" activeTab="2" xr2:uid="{C2788FCB-0821-41BF-9750-015A16E9D99A}"/>
  </bookViews>
  <sheets>
    <sheet name="Mandat A" sheetId="7" r:id="rId1"/>
    <sheet name="Mandat B" sheetId="5" r:id="rId2"/>
    <sheet name="Notes" sheetId="3" r:id="rId3"/>
    <sheet name="Configuration" sheetId="2" r:id="rId4"/>
  </sheets>
  <definedNames>
    <definedName name="Cotes">Configuration!$B$3:$B$7</definedName>
    <definedName name="CotesMatrice">Configuration!$B$3:$C$7</definedName>
    <definedName name="TotalCompétences" localSheetId="0">'Mandat A'!$E$37</definedName>
    <definedName name="TotalCompétences" localSheetId="1">'Mandat B'!$E$37</definedName>
    <definedName name="TotalFonctionalitées" localSheetId="0">'Mandat A'!$E$27</definedName>
    <definedName name="TotalFonctionalitées" localSheetId="1">'Mandat B'!$E$27</definedName>
    <definedName name="TotalPénalités" localSheetId="0">'Mandat A'!$E$47</definedName>
    <definedName name="TotalPénalités" localSheetId="1">'Mandat B'!$E$47</definedName>
    <definedName name="VraiFaux">Configuration!$B$10:$B$11</definedName>
    <definedName name="VraiFauxMatrice">Configuration!$B$10:$C$11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3" l="1"/>
  <c r="C27" i="3"/>
  <c r="B27" i="3"/>
  <c r="D26" i="3"/>
  <c r="C26" i="3"/>
  <c r="B26" i="3"/>
  <c r="D25" i="3"/>
  <c r="C25" i="3"/>
  <c r="B25" i="3"/>
  <c r="D24" i="3"/>
  <c r="C24" i="3"/>
  <c r="B24" i="3"/>
  <c r="G24" i="3" s="1"/>
  <c r="D23" i="3"/>
  <c r="C23" i="3"/>
  <c r="B23" i="3"/>
  <c r="G23" i="3" s="1"/>
  <c r="D22" i="3"/>
  <c r="C22" i="3"/>
  <c r="B22" i="3"/>
  <c r="G22" i="3" s="1"/>
  <c r="D21" i="3"/>
  <c r="C21" i="3"/>
  <c r="B21" i="3"/>
  <c r="G21" i="3" s="1"/>
  <c r="D20" i="3"/>
  <c r="C20" i="3"/>
  <c r="B20" i="3"/>
  <c r="G20" i="3" s="1"/>
  <c r="D19" i="3"/>
  <c r="C19" i="3"/>
  <c r="B19" i="3"/>
  <c r="G19" i="3" s="1"/>
  <c r="D18" i="3"/>
  <c r="C18" i="3"/>
  <c r="B18" i="3"/>
  <c r="D17" i="3"/>
  <c r="C17" i="3"/>
  <c r="B17" i="3"/>
  <c r="D16" i="3"/>
  <c r="C16" i="3"/>
  <c r="B16" i="3"/>
  <c r="D15" i="3"/>
  <c r="C15" i="3"/>
  <c r="B15" i="3"/>
  <c r="D14" i="3"/>
  <c r="C14" i="3"/>
  <c r="B14" i="3"/>
  <c r="D13" i="3"/>
  <c r="C13" i="3"/>
  <c r="B13" i="3"/>
  <c r="D12" i="3"/>
  <c r="C12" i="3"/>
  <c r="B12" i="3"/>
  <c r="G12" i="3" s="1"/>
  <c r="D11" i="3"/>
  <c r="C11" i="3"/>
  <c r="B11" i="3"/>
  <c r="G11" i="3" s="1"/>
  <c r="D10" i="3"/>
  <c r="C10" i="3"/>
  <c r="B10" i="3"/>
  <c r="G10" i="3" s="1"/>
  <c r="D9" i="3"/>
  <c r="C9" i="3"/>
  <c r="B9" i="3"/>
  <c r="D8" i="3"/>
  <c r="C8" i="3"/>
  <c r="B8" i="3"/>
  <c r="D7" i="3"/>
  <c r="C7" i="3"/>
  <c r="B7" i="3"/>
  <c r="G7" i="3" s="1"/>
  <c r="D6" i="3"/>
  <c r="C6" i="3"/>
  <c r="B6" i="3"/>
  <c r="G6" i="3" s="1"/>
  <c r="D5" i="3"/>
  <c r="C5" i="3"/>
  <c r="B5" i="3"/>
  <c r="G5" i="3" s="1"/>
  <c r="D4" i="3"/>
  <c r="C4" i="3"/>
  <c r="B4" i="3"/>
  <c r="G4" i="3" s="1"/>
  <c r="D3" i="3"/>
  <c r="C3" i="3"/>
  <c r="B3" i="3"/>
  <c r="G3" i="3" s="1"/>
  <c r="C44" i="7"/>
  <c r="E27" i="7"/>
  <c r="E46" i="7"/>
  <c r="E43" i="7"/>
  <c r="E42" i="7"/>
  <c r="E36" i="7"/>
  <c r="E34" i="7"/>
  <c r="E32" i="7"/>
  <c r="E30" i="7"/>
  <c r="E26" i="7"/>
  <c r="E25" i="7"/>
  <c r="E24" i="7"/>
  <c r="E22" i="7"/>
  <c r="E21" i="7"/>
  <c r="E20" i="7"/>
  <c r="E18" i="7"/>
  <c r="E17" i="7"/>
  <c r="E16" i="7"/>
  <c r="E15" i="7"/>
  <c r="E14" i="7"/>
  <c r="E12" i="7"/>
  <c r="E11" i="7"/>
  <c r="E10" i="7"/>
  <c r="E9" i="7"/>
  <c r="E7" i="7"/>
  <c r="E6" i="7"/>
  <c r="B3" i="7" a="1"/>
  <c r="B3" i="7" s="1"/>
  <c r="E6" i="5"/>
  <c r="E7" i="5"/>
  <c r="E8" i="5"/>
  <c r="E9" i="5"/>
  <c r="E10" i="5"/>
  <c r="E11" i="5"/>
  <c r="E12" i="5"/>
  <c r="E14" i="5"/>
  <c r="E15" i="5"/>
  <c r="E16" i="5"/>
  <c r="E17" i="5"/>
  <c r="E19" i="5"/>
  <c r="E20" i="5"/>
  <c r="E21" i="5"/>
  <c r="E23" i="5"/>
  <c r="E24" i="5"/>
  <c r="E25" i="5"/>
  <c r="E26" i="5"/>
  <c r="E30" i="5"/>
  <c r="E46" i="5"/>
  <c r="E43" i="5"/>
  <c r="E42" i="5"/>
  <c r="E36" i="5"/>
  <c r="E34" i="5"/>
  <c r="E32" i="5"/>
  <c r="B3" i="5" a="1"/>
  <c r="B3" i="5" s="1"/>
  <c r="G27" i="3"/>
  <c r="G26" i="3"/>
  <c r="G25" i="3"/>
  <c r="G18" i="3"/>
  <c r="G17" i="3"/>
  <c r="G16" i="3"/>
  <c r="G15" i="3"/>
  <c r="G14" i="3"/>
  <c r="G13" i="3"/>
  <c r="G9" i="3"/>
  <c r="G8" i="3"/>
  <c r="E5" i="3" a="1"/>
  <c r="E25" i="3" a="1"/>
  <c r="E18" i="3" a="1"/>
  <c r="E11" i="3" a="1"/>
  <c r="E4" i="3" a="1"/>
  <c r="E24" i="3" a="1"/>
  <c r="E17" i="3" a="1"/>
  <c r="E10" i="3" a="1"/>
  <c r="E3" i="3" a="1"/>
  <c r="E23" i="3" a="1"/>
  <c r="E16" i="3" a="1"/>
  <c r="E9" i="3" a="1"/>
  <c r="E22" i="3" a="1"/>
  <c r="E21" i="3" a="1"/>
  <c r="E14" i="3" a="1"/>
  <c r="E7" i="3" a="1"/>
  <c r="E15" i="3" a="1"/>
  <c r="E8" i="3" a="1"/>
  <c r="E27" i="3" a="1"/>
  <c r="E20" i="3" a="1"/>
  <c r="E6" i="3" a="1"/>
  <c r="E13" i="3" a="1"/>
  <c r="E26" i="3" a="1"/>
  <c r="E19" i="3" a="1"/>
  <c r="E12" i="3" a="1"/>
  <c r="E37" i="7" l="1"/>
  <c r="E50" i="7" s="1"/>
  <c r="E49" i="7"/>
  <c r="E37" i="5"/>
  <c r="E50" i="5" s="1"/>
  <c r="E27" i="5"/>
  <c r="E49" i="5" s="1"/>
  <c r="E9" i="3"/>
  <c r="H9" i="3" s="1"/>
  <c r="E16" i="3"/>
  <c r="H16" i="3" s="1"/>
  <c r="E23" i="3"/>
  <c r="H23" i="3" s="1"/>
  <c r="E3" i="3"/>
  <c r="E10" i="3"/>
  <c r="H10" i="3" s="1"/>
  <c r="E17" i="3"/>
  <c r="H17" i="3" s="1"/>
  <c r="E24" i="3"/>
  <c r="H24" i="3" s="1"/>
  <c r="E4" i="3"/>
  <c r="H4" i="3" s="1"/>
  <c r="E11" i="3"/>
  <c r="H11" i="3" s="1"/>
  <c r="E18" i="3"/>
  <c r="H18" i="3" s="1"/>
  <c r="E25" i="3"/>
  <c r="H25" i="3" s="1"/>
  <c r="E5" i="3"/>
  <c r="H5" i="3" s="1"/>
  <c r="E12" i="3"/>
  <c r="H12" i="3" s="1"/>
  <c r="E19" i="3"/>
  <c r="H19" i="3" s="1"/>
  <c r="E26" i="3"/>
  <c r="H26" i="3" s="1"/>
  <c r="E6" i="3"/>
  <c r="H6" i="3" s="1"/>
  <c r="E13" i="3"/>
  <c r="H13" i="3" s="1"/>
  <c r="E20" i="3"/>
  <c r="H20" i="3" s="1"/>
  <c r="E27" i="3"/>
  <c r="H27" i="3" s="1"/>
  <c r="E7" i="3"/>
  <c r="H7" i="3" s="1"/>
  <c r="E14" i="3"/>
  <c r="H14" i="3" s="1"/>
  <c r="E21" i="3"/>
  <c r="H21" i="3" s="1"/>
  <c r="E8" i="3"/>
  <c r="H8" i="3" s="1"/>
  <c r="E15" i="3"/>
  <c r="H15" i="3" s="1"/>
  <c r="E22" i="3"/>
  <c r="H22" i="3" s="1"/>
  <c r="E44" i="7" l="1"/>
  <c r="E47" i="7" s="1"/>
  <c r="E52" i="7" s="1"/>
  <c r="C44" i="5"/>
  <c r="E44" i="5" s="1"/>
  <c r="E47" i="5" s="1"/>
  <c r="E51" i="5" s="1"/>
  <c r="E31" i="3"/>
  <c r="E30" i="3"/>
  <c r="E29" i="3"/>
  <c r="H3" i="3"/>
  <c r="E51" i="7" l="1"/>
  <c r="E5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<sst xmlns="http://schemas.openxmlformats.org/spreadsheetml/2006/main" count="179" uniqueCount="78">
  <si>
    <t>Formulaires</t>
  </si>
  <si>
    <t>Liste de messages d’erreur de validation.</t>
  </si>
  <si>
    <t>Commentaires</t>
  </si>
  <si>
    <t>Note</t>
  </si>
  <si>
    <t>Pondération</t>
  </si>
  <si>
    <t>Sous-total</t>
  </si>
  <si>
    <t>A</t>
  </si>
  <si>
    <t>Cote</t>
  </si>
  <si>
    <t>Fonctionalités - Le Quoi</t>
  </si>
  <si>
    <t>Compétences - Le Comment</t>
  </si>
  <si>
    <t>Programmer la logique applicative coté serveur (00SU-5)</t>
  </si>
  <si>
    <t>Valeur</t>
  </si>
  <si>
    <t>Programmer la logique applicative coté client (00SU-6)</t>
  </si>
  <si>
    <t>Total</t>
  </si>
  <si>
    <t>B</t>
  </si>
  <si>
    <t>C</t>
  </si>
  <si>
    <t>D</t>
  </si>
  <si>
    <t>E</t>
  </si>
  <si>
    <t>Pénalités</t>
  </si>
  <si>
    <t>Qualité du code</t>
  </si>
  <si>
    <t>Français</t>
  </si>
  <si>
    <t>Remise du travail</t>
  </si>
  <si>
    <t>Propreté générale du code.
Mauvaises pratiques de programmation.
Formatage ou indentation déficiente.
Standard de nommage non respecté.
Cohérence de l’ensemble de l’œuvre.
Autre</t>
  </si>
  <si>
    <t>Nombre de fautes</t>
  </si>
  <si>
    <t>Non-respect des consignes de remise.</t>
  </si>
  <si>
    <t>Travail remis en retard.</t>
  </si>
  <si>
    <t>Erreur de compilation ou d’interprétation du code.</t>
  </si>
  <si>
    <t>Évaluation Travail Pratique 2 - 420-W21-SF</t>
  </si>
  <si>
    <t>Page de consultation de produit</t>
  </si>
  <si>
    <t>Page du panier</t>
  </si>
  <si>
    <t>Page de création de compte</t>
  </si>
  <si>
    <t>Page de connexion</t>
  </si>
  <si>
    <t>Autres</t>
  </si>
  <si>
    <t>Grille de produits (nom, prix, image).</t>
  </si>
  <si>
    <t xml:space="preserve">Hyperliens fonctionnels (détails des produits). </t>
  </si>
  <si>
    <t>Détails du produit (nom, description, prix, image).</t>
  </si>
  <si>
    <t>Ajout du produit au panier (incluant quantité).</t>
  </si>
  <si>
    <t>Numéro de produit obtenu à partir de l’url.</t>
  </si>
  <si>
    <t>Redirection vers l’accueil si produit inexistant.</t>
  </si>
  <si>
    <t>Liste des produits (nom, prix, image, quantité).</t>
  </si>
  <si>
    <t>Calcul du total de la commande.</t>
  </si>
  <si>
    <t>Possibilité de retirer un produit.</t>
  </si>
  <si>
    <t>Possibilité de passer la commande.</t>
  </si>
  <si>
    <t>Impossible de passer une commande si non-connecté.</t>
  </si>
  <si>
    <t>Affichage d’un message si le panier est vide.</t>
  </si>
  <si>
    <t>Courriel obligatoire, non vide et valide.</t>
  </si>
  <si>
    <t>Mot de passe obligatoire.</t>
  </si>
  <si>
    <t>Confirmation obligatoire et valide.</t>
  </si>
  <si>
    <t>Redirection vers l’accueil si déjà connecté.</t>
  </si>
  <si>
    <t>Formulaires vides au lancement.</t>
  </si>
  <si>
    <t>Données conservées en cas d’erreur.</t>
  </si>
  <si>
    <t>Page actuelle montrée dans la barre de navigation.</t>
  </si>
  <si>
    <t>Barre de navigation s’adapte à la connexion d’un utilisateur.</t>
  </si>
  <si>
    <t>Possibilité de se déconnecter du compte utilisateur.</t>
  </si>
  <si>
    <t>Respect des maquettes (mobile et ordinateur).</t>
  </si>
  <si>
    <t>Préparer la base de données (00SU-3)</t>
  </si>
  <si>
    <r>
      <t xml:space="preserve">Rédaction de requêtes SQL (syntaxe générale).
Rédaction et utilisation de Data Access Object.
Utilisation de requêtes préparées.
Utilisation de transaction lors des requêtes en écriture.
</t>
    </r>
    <r>
      <rPr>
        <i/>
        <sz val="11"/>
        <color theme="1"/>
        <rFont val="Aptos Narrow"/>
        <family val="2"/>
        <scheme val="minor"/>
      </rPr>
      <t>Autre</t>
    </r>
  </si>
  <si>
    <r>
      <t xml:space="preserve">Rédaction de code en PHP (syntaxe générale).
Classement des fichiers et des dossiers respecte les standards du cours.
Séparation de la logique application et du visuel.
Utilisation du bon verbe Http (GET, POST) pour l’envoi et la réception de formulaires.
Application du Post/Redirect/Get pour les formulaires.
Rédaction et utilisation de Data Transfer Object.
Validations des données.
Hachage des mots de passe.
Usage de sessions.
</t>
    </r>
    <r>
      <rPr>
        <i/>
        <sz val="11"/>
        <color theme="1"/>
        <rFont val="Aptos Narrow"/>
        <family val="2"/>
        <scheme val="minor"/>
      </rPr>
      <t>Autre</t>
    </r>
  </si>
  <si>
    <r>
      <t xml:space="preserve">Rédaction de code en HTML (syntaxe générale).
Rédaction de code en CSS (syntaxe générale).
</t>
    </r>
    <r>
      <rPr>
        <i/>
        <sz val="11"/>
        <color theme="1"/>
        <rFont val="Aptos Narrow"/>
        <family val="2"/>
        <scheme val="minor"/>
      </rPr>
      <t>Autre</t>
    </r>
  </si>
  <si>
    <t xml:space="preserve">Contrôler la qualité de l’application (00SU-7) </t>
  </si>
  <si>
    <r>
      <t xml:space="preserve">Tous les tests unitaires passent avec succès.
Tests unitaires exhaustifs, complets et robustes. 
Utilisation du framework de tests PhpUnit.
</t>
    </r>
    <r>
      <rPr>
        <i/>
        <sz val="11"/>
        <color theme="1"/>
        <rFont val="Aptos Narrow"/>
        <family val="2"/>
        <scheme val="minor"/>
      </rPr>
      <t>Autre</t>
    </r>
  </si>
  <si>
    <t>Impossible de passer une commande si les quantités sont insuffisantes.</t>
  </si>
  <si>
    <t>Matricule</t>
  </si>
  <si>
    <t>Nom</t>
  </si>
  <si>
    <t>Exportation LÉA</t>
  </si>
  <si>
    <t>Moyenne</t>
  </si>
  <si>
    <t>Médianne</t>
  </si>
  <si>
    <t>Écart-Type</t>
  </si>
  <si>
    <t>Mandat</t>
  </si>
  <si>
    <t>Page d'accueil</t>
  </si>
  <si>
    <t>Compte créé si formulaire valide.</t>
  </si>
  <si>
    <t>Connexion au compte dans la session s’il existe.</t>
  </si>
  <si>
    <t>Fonctionalités</t>
  </si>
  <si>
    <t>Compétences</t>
  </si>
  <si>
    <t>Sommaire</t>
  </si>
  <si>
    <t>Fonctionnalités - Le Quoi</t>
  </si>
  <si>
    <r>
      <t xml:space="preserve">Rédaction de code en PHP (syntaxe générale, typage des fonctions, etc.).
Classement des fichiers et des dossiers respecte les standards du cours.
Utilisation du bon verbe Http (GET, POST) pour l’envoi et la réception de formulaires.
Application du Post/Redirect/Get pour les formulaires.
Rédaction et utilisation de Data Transfer Object.
Validations des données.
Hachage des mots de passe.
Usage de sessions.
</t>
    </r>
    <r>
      <rPr>
        <i/>
        <sz val="11"/>
        <color theme="1"/>
        <rFont val="Aptos Narrow"/>
        <family val="2"/>
        <scheme val="minor"/>
      </rPr>
      <t>Autre</t>
    </r>
  </si>
  <si>
    <t>Propreté générale du code (espacement, lisibilité, etc.).
Mauvaises pratiques de programmation (constantes, etc.).
Formatage ou indentation déficiente.
Standard de nommage non respecté (nomenclature cohérente, noms significatifs, etc.).
Cohérence de l’ensemble de l’œuvre.
Autre (commentaires, mélange des langues,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</si>
</sst>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Matricule : &quot;\ 0000000"/>
    <numFmt numFmtId="165"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2"/>
      <color theme="0"/>
      <name val="Aptos Narrow"/>
      <family val="2"/>
      <scheme val="minor"/>
    </font>
    <font>
      <b/>
      <sz val="14"/>
      <color theme="0"/>
      <name val="Aptos Narrow"/>
      <family val="2"/>
      <scheme val="minor"/>
    </font>
    <font>
      <b/>
      <sz val="18"/>
      <color theme="0"/>
      <name val="Aptos Narrow"/>
      <family val="2"/>
      <scheme val="minor"/>
    </font>
    <font>
      <i/>
      <sz val="11"/>
      <color theme="1"/>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0" tint="-4.9989318521683403E-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3" fillId="2" borderId="4" xfId="0" applyFont="1" applyFill="1" applyBorder="1" applyAlignment="1">
      <alignment horizontal="left" vertical="center" indent="1"/>
    </xf>
    <xf numFmtId="0" fontId="3" fillId="2" borderId="5" xfId="0" applyFont="1" applyFill="1" applyBorder="1" applyAlignment="1">
      <alignment horizontal="left" vertical="center" indent="1"/>
    </xf>
    <xf numFmtId="0" fontId="0" fillId="0" borderId="10" xfId="0" applyBorder="1" applyAlignment="1">
      <alignment horizontal="left" vertical="center" indent="2"/>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9" fontId="0" fillId="2" borderId="9" xfId="0" applyNumberFormat="1" applyFill="1" applyBorder="1" applyAlignment="1">
      <alignment horizontal="right" vertical="center"/>
    </xf>
    <xf numFmtId="0" fontId="3" fillId="3" borderId="4" xfId="0" applyFont="1" applyFill="1" applyBorder="1" applyAlignment="1">
      <alignment horizontal="left" vertical="center"/>
    </xf>
    <xf numFmtId="0" fontId="3" fillId="3" borderId="5" xfId="0" applyFont="1" applyFill="1" applyBorder="1" applyAlignment="1">
      <alignment horizontal="left" vertical="center"/>
    </xf>
    <xf numFmtId="9" fontId="0" fillId="3" borderId="6" xfId="0" applyNumberFormat="1" applyFill="1" applyBorder="1" applyAlignment="1">
      <alignment horizontal="right" vertical="center"/>
    </xf>
    <xf numFmtId="0" fontId="0" fillId="0" borderId="10" xfId="0" applyBorder="1" applyAlignment="1">
      <alignment horizontal="left" vertical="top" wrapText="1" indent="2"/>
    </xf>
    <xf numFmtId="0" fontId="0" fillId="0" borderId="7" xfId="0" applyBorder="1" applyAlignment="1">
      <alignment horizontal="left" vertical="top" wrapText="1" indent="2"/>
    </xf>
    <xf numFmtId="9" fontId="0" fillId="0" borderId="8" xfId="0" applyNumberFormat="1" applyBorder="1" applyAlignment="1">
      <alignment horizontal="center" vertical="center"/>
    </xf>
    <xf numFmtId="0" fontId="0" fillId="2" borderId="6" xfId="0" applyFill="1" applyBorder="1" applyAlignment="1">
      <alignment horizontal="center" vertical="center" wrapText="1"/>
    </xf>
    <xf numFmtId="0" fontId="3" fillId="2" borderId="10" xfId="0" applyFont="1" applyFill="1" applyBorder="1" applyAlignment="1">
      <alignment horizontal="left" vertical="center" indent="1"/>
    </xf>
    <xf numFmtId="0" fontId="3" fillId="2" borderId="0" xfId="0" applyFont="1" applyFill="1" applyAlignment="1">
      <alignment horizontal="left" vertical="center" indent="1"/>
    </xf>
    <xf numFmtId="0" fontId="6" fillId="5" borderId="2" xfId="0" applyFont="1" applyFill="1" applyBorder="1" applyAlignment="1">
      <alignment horizontal="center" vertical="center"/>
    </xf>
    <xf numFmtId="0" fontId="6" fillId="5" borderId="1" xfId="0" applyFont="1" applyFill="1" applyBorder="1" applyAlignment="1">
      <alignment horizontal="left" vertical="center" indent="1"/>
    </xf>
    <xf numFmtId="0" fontId="2" fillId="5" borderId="3" xfId="0" applyFont="1" applyFill="1" applyBorder="1" applyAlignment="1">
      <alignment horizontal="center" vertical="center"/>
    </xf>
    <xf numFmtId="0" fontId="4" fillId="5" borderId="0" xfId="0" applyFont="1" applyFill="1" applyAlignment="1">
      <alignment horizontal="center" vertical="center"/>
    </xf>
    <xf numFmtId="9" fontId="0" fillId="0" borderId="0" xfId="1" applyFont="1"/>
    <xf numFmtId="9" fontId="0" fillId="0" borderId="11" xfId="1" applyFont="1" applyBorder="1" applyAlignment="1">
      <alignment horizontal="center" vertical="center" wrapText="1"/>
    </xf>
    <xf numFmtId="9" fontId="0" fillId="2" borderId="11" xfId="1" applyFont="1" applyFill="1" applyBorder="1" applyAlignment="1">
      <alignment horizontal="center" vertical="center" wrapText="1"/>
    </xf>
    <xf numFmtId="0" fontId="0" fillId="0" borderId="0" xfId="0" applyAlignment="1">
      <alignment horizontal="center" vertical="center"/>
    </xf>
    <xf numFmtId="9" fontId="0" fillId="0" borderId="0" xfId="1" applyFont="1" applyFill="1" applyBorder="1" applyAlignment="1">
      <alignment horizontal="center" vertical="center" wrapText="1"/>
    </xf>
    <xf numFmtId="164" fontId="6" fillId="4" borderId="7" xfId="0" applyNumberFormat="1" applyFont="1" applyFill="1" applyBorder="1" applyAlignment="1">
      <alignment horizontal="left" vertical="top" indent="1"/>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vertical="top" wrapText="1"/>
    </xf>
    <xf numFmtId="0" fontId="0" fillId="0" borderId="10" xfId="0" applyBorder="1" applyAlignment="1">
      <alignment horizontal="left" vertical="center" wrapText="1" indent="2"/>
    </xf>
    <xf numFmtId="0" fontId="3" fillId="6" borderId="1" xfId="0" applyFont="1" applyFill="1" applyBorder="1" applyAlignment="1">
      <alignment horizontal="center" vertical="center"/>
    </xf>
    <xf numFmtId="0" fontId="3" fillId="6" borderId="2" xfId="0" applyFont="1" applyFill="1" applyBorder="1" applyAlignment="1">
      <alignment horizontal="left" vertical="center"/>
    </xf>
    <xf numFmtId="0" fontId="3" fillId="6" borderId="3" xfId="0" applyFont="1" applyFill="1" applyBorder="1" applyAlignment="1">
      <alignment horizontal="center" vertical="center"/>
    </xf>
    <xf numFmtId="9" fontId="0" fillId="0" borderId="11" xfId="1" applyFont="1" applyFill="1" applyBorder="1"/>
    <xf numFmtId="0" fontId="0" fillId="0" borderId="4" xfId="0" applyBorder="1"/>
    <xf numFmtId="165" fontId="0" fillId="0" borderId="6" xfId="0" applyNumberFormat="1" applyBorder="1"/>
    <xf numFmtId="0" fontId="0" fillId="0" borderId="10" xfId="0" applyBorder="1"/>
    <xf numFmtId="165" fontId="0" fillId="0" borderId="11" xfId="0" applyNumberFormat="1" applyBorder="1"/>
    <xf numFmtId="9" fontId="0" fillId="0" borderId="9" xfId="1" applyFont="1" applyFill="1" applyBorder="1"/>
    <xf numFmtId="0" fontId="0" fillId="0" borderId="7" xfId="0" applyBorder="1"/>
    <xf numFmtId="9" fontId="3" fillId="2" borderId="4" xfId="0" applyNumberFormat="1" applyFont="1" applyFill="1" applyBorder="1"/>
    <xf numFmtId="0" fontId="0" fillId="2" borderId="5" xfId="0" applyFill="1" applyBorder="1"/>
    <xf numFmtId="9" fontId="0" fillId="0" borderId="12" xfId="0" applyNumberFormat="1" applyBorder="1"/>
    <xf numFmtId="9" fontId="3" fillId="2" borderId="10" xfId="0" applyNumberFormat="1" applyFont="1" applyFill="1" applyBorder="1"/>
    <xf numFmtId="0" fontId="0" fillId="2" borderId="0" xfId="0" applyFill="1"/>
    <xf numFmtId="9" fontId="0" fillId="0" borderId="13" xfId="0" applyNumberFormat="1" applyBorder="1"/>
    <xf numFmtId="0" fontId="3" fillId="2" borderId="7" xfId="0" applyFont="1" applyFill="1" applyBorder="1"/>
    <xf numFmtId="0" fontId="0" fillId="2" borderId="8" xfId="0" applyFill="1" applyBorder="1"/>
    <xf numFmtId="9" fontId="0" fillId="0" borderId="14" xfId="1" applyFont="1" applyBorder="1"/>
    <xf numFmtId="0" fontId="0" fillId="0" borderId="7" xfId="0" applyBorder="1" applyAlignment="1">
      <alignment horizontal="left" vertical="center" indent="2"/>
    </xf>
    <xf numFmtId="0" fontId="2" fillId="4" borderId="9"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6" fillId="5" borderId="4" xfId="0" applyFont="1" applyFill="1" applyBorder="1" applyAlignment="1">
      <alignment horizontal="left" vertical="center" indent="1"/>
    </xf>
    <xf numFmtId="0" fontId="6"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0" borderId="8" xfId="0" applyBorder="1" applyAlignment="1">
      <alignment horizontal="center" vertical="center" wrapText="1"/>
    </xf>
    <xf numFmtId="0" fontId="3" fillId="2" borderId="5" xfId="0" applyFont="1" applyFill="1" applyBorder="1" applyAlignment="1">
      <alignment horizontal="center" vertical="center"/>
    </xf>
    <xf numFmtId="9" fontId="0" fillId="0" borderId="0" xfId="1" applyFont="1" applyBorder="1" applyAlignment="1">
      <alignment horizontal="center" vertical="center"/>
    </xf>
    <xf numFmtId="0" fontId="3" fillId="2" borderId="0" xfId="0" applyFont="1" applyFill="1" applyAlignment="1">
      <alignment horizontal="center" vertical="center"/>
    </xf>
    <xf numFmtId="9" fontId="0" fillId="0" borderId="8" xfId="1" applyFont="1" applyBorder="1" applyAlignment="1">
      <alignment horizontal="center" vertical="center"/>
    </xf>
    <xf numFmtId="9" fontId="0" fillId="2" borderId="6" xfId="1" applyFont="1" applyFill="1" applyBorder="1" applyAlignment="1">
      <alignment horizontal="center" vertical="center" wrapText="1"/>
    </xf>
    <xf numFmtId="9" fontId="0" fillId="0" borderId="9" xfId="1" applyFont="1" applyBorder="1" applyAlignment="1">
      <alignment horizontal="center" vertical="center" wrapText="1"/>
    </xf>
    <xf numFmtId="9" fontId="0" fillId="0" borderId="0" xfId="0" applyNumberFormat="1" applyAlignment="1">
      <alignment horizontal="center" vertical="center"/>
    </xf>
    <xf numFmtId="9" fontId="0" fillId="2" borderId="8" xfId="1" applyFont="1" applyFill="1" applyBorder="1" applyAlignment="1">
      <alignment horizontal="center" vertical="center"/>
    </xf>
    <xf numFmtId="9" fontId="1" fillId="2" borderId="8" xfId="1" applyFont="1" applyFill="1" applyBorder="1" applyAlignment="1">
      <alignment horizontal="center" vertical="center"/>
    </xf>
    <xf numFmtId="0" fontId="8" fillId="4" borderId="7" xfId="0" applyFont="1" applyFill="1" applyBorder="1" applyAlignment="1">
      <alignment horizontal="left" vertical="center" indent="1"/>
    </xf>
    <xf numFmtId="0" fontId="8" fillId="4" borderId="8" xfId="0" applyFont="1" applyFill="1" applyBorder="1" applyAlignment="1">
      <alignment horizontal="left" vertical="center" indent="1"/>
    </xf>
    <xf numFmtId="0" fontId="6" fillId="4" borderId="8" xfId="0" applyFont="1" applyFill="1" applyBorder="1" applyAlignment="1">
      <alignment horizontal="center" vertical="center"/>
    </xf>
    <xf numFmtId="9" fontId="7" fillId="4" borderId="9" xfId="1" applyFont="1" applyFill="1" applyBorder="1" applyAlignment="1">
      <alignment horizontal="center" vertical="center"/>
    </xf>
    <xf numFmtId="0" fontId="3" fillId="2" borderId="1" xfId="0" applyFont="1" applyFill="1" applyBorder="1" applyAlignment="1">
      <alignment horizontal="left" vertical="center"/>
    </xf>
    <xf numFmtId="9" fontId="0" fillId="2" borderId="2" xfId="1" applyFont="1" applyFill="1" applyBorder="1" applyAlignment="1">
      <alignment horizontal="center" vertical="center"/>
    </xf>
    <xf numFmtId="0" fontId="3" fillId="2" borderId="2" xfId="0" applyFont="1" applyFill="1" applyBorder="1" applyAlignment="1">
      <alignment horizontal="left" vertical="center"/>
    </xf>
    <xf numFmtId="9" fontId="0" fillId="2" borderId="3" xfId="0" applyNumberFormat="1" applyFill="1" applyBorder="1" applyAlignment="1">
      <alignment horizontal="right" vertical="center"/>
    </xf>
    <xf numFmtId="9" fontId="0" fillId="3" borderId="5" xfId="1" applyFont="1" applyFill="1" applyBorder="1" applyAlignment="1">
      <alignment horizontal="center" vertical="center"/>
    </xf>
    <xf numFmtId="0" fontId="3" fillId="3" borderId="7" xfId="0" applyFont="1" applyFill="1" applyBorder="1" applyAlignment="1">
      <alignment horizontal="left" vertical="center"/>
    </xf>
    <xf numFmtId="9" fontId="0" fillId="3" borderId="8" xfId="1" applyFont="1" applyFill="1" applyBorder="1" applyAlignment="1">
      <alignment horizontal="center" vertical="center"/>
    </xf>
    <xf numFmtId="0" fontId="3" fillId="3" borderId="8" xfId="0" applyFont="1" applyFill="1" applyBorder="1" applyAlignment="1">
      <alignment horizontal="left" vertical="center"/>
    </xf>
    <xf numFmtId="9" fontId="0" fillId="3" borderId="9" xfId="0" applyNumberFormat="1" applyFill="1" applyBorder="1" applyAlignment="1">
      <alignment horizontal="right" vertical="center"/>
    </xf>
    <xf numFmtId="9" fontId="0" fillId="7" borderId="0" xfId="1" applyFont="1" applyFill="1" applyBorder="1" applyAlignment="1">
      <alignment horizontal="center" vertical="center"/>
    </xf>
    <xf numFmtId="0" fontId="3" fillId="7" borderId="0" xfId="0" applyFont="1" applyFill="1" applyAlignment="1">
      <alignment horizontal="left" vertical="center"/>
    </xf>
    <xf numFmtId="9" fontId="0" fillId="7" borderId="11" xfId="0" applyNumberFormat="1" applyFill="1" applyBorder="1" applyAlignment="1">
      <alignment horizontal="right" vertical="center"/>
    </xf>
    <xf numFmtId="0" fontId="3" fillId="7" borderId="10" xfId="0" applyFont="1" applyFill="1" applyBorder="1" applyAlignment="1">
      <alignment horizontal="left" vertical="center"/>
    </xf>
    <xf numFmtId="0" fontId="5" fillId="4" borderId="4" xfId="0" applyFont="1" applyFill="1" applyBorder="1" applyAlignment="1">
      <alignment horizontal="left" vertical="center" indent="1"/>
    </xf>
    <xf numFmtId="0" fontId="5" fillId="4" borderId="5" xfId="0" applyFont="1" applyFill="1" applyBorder="1" applyAlignment="1">
      <alignment horizontal="left" vertical="center" indent="1"/>
    </xf>
    <xf numFmtId="0" fontId="5" fillId="4" borderId="6" xfId="0" applyFont="1" applyFill="1" applyBorder="1" applyAlignment="1">
      <alignment horizontal="left" vertical="center" indent="1"/>
    </xf>
    <xf numFmtId="0" fontId="2" fillId="4" borderId="8" xfId="0" applyFont="1" applyFill="1" applyBorder="1" applyAlignment="1">
      <alignment horizontal="right" vertical="center"/>
    </xf>
    <xf numFmtId="0" fontId="0" fillId="0" borderId="10" xfId="0" applyBorder="1" applyAlignment="1">
      <alignment horizontal="left" vertical="center" wrapText="1" indent="2"/>
    </xf>
    <xf numFmtId="0" fontId="0" fillId="0" borderId="0" xfId="0" applyAlignment="1">
      <alignment horizontal="left" vertical="center" wrapText="1" indent="2"/>
    </xf>
    <xf numFmtId="0" fontId="3" fillId="2" borderId="4" xfId="0" applyFont="1" applyFill="1" applyBorder="1" applyAlignment="1">
      <alignment horizontal="center" vertical="top"/>
    </xf>
    <xf numFmtId="0" fontId="3" fillId="2" borderId="5" xfId="0" applyFont="1" applyFill="1" applyBorder="1" applyAlignment="1">
      <alignment horizontal="center" vertical="top"/>
    </xf>
    <xf numFmtId="0" fontId="3" fillId="2" borderId="6" xfId="0" applyFont="1" applyFill="1" applyBorder="1" applyAlignment="1">
      <alignment horizontal="center" vertical="top"/>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3" fillId="6" borderId="1"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2" xfId="0" applyFont="1" applyFill="1" applyBorder="1" applyAlignment="1">
      <alignment horizontal="center" vertical="center"/>
    </xf>
    <xf numFmtId="9" fontId="3" fillId="2" borderId="5" xfId="0" applyNumberFormat="1" applyFont="1" applyFill="1" applyBorder="1"/>
    <xf numFmtId="9" fontId="3" fillId="2" borderId="0" xfId="0" applyNumberFormat="1" applyFont="1" applyFill="1" applyBorder="1"/>
    <xf numFmtId="0" fontId="3" fillId="2" borderId="8" xfId="0" applyFont="1" applyFill="1" applyBorder="1"/>
    <xf numFmtId="0" fontId="0" fillId="0" borderId="0" xfId="0" applyBorder="1"/>
    <xf numFmtId="0" fontId="0" fillId="0" borderId="8" xfId="0" applyBorder="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1415-D472-4C53-8AD8-A967B85BB29F}">
  <dimension ref="B1:G55"/>
  <sheetViews>
    <sheetView zoomScaleNormal="100" workbookViewId="0">
      <selection activeCell="B40" sqref="B40"/>
    </sheetView>
  </sheetViews>
  <sheetFormatPr baseColWidth="10" defaultRowHeight="14.4" x14ac:dyDescent="0.3"/>
  <cols>
    <col min="1" max="1" width="2.88671875" customWidth="1"/>
    <col min="2" max="2" width="77.6640625" customWidth="1"/>
    <col min="3" max="3" width="15.6640625" customWidth="1"/>
    <col min="4" max="5" width="7.6640625" customWidth="1"/>
  </cols>
  <sheetData>
    <row r="1" spans="2:7" ht="15" thickBot="1" x14ac:dyDescent="0.35"/>
    <row r="2" spans="2:7" ht="45.75" customHeight="1" x14ac:dyDescent="0.3">
      <c r="B2" s="85" t="s">
        <v>27</v>
      </c>
      <c r="C2" s="86"/>
      <c r="D2" s="86"/>
      <c r="E2" s="87"/>
    </row>
    <row r="3" spans="2:7" ht="24.75" customHeight="1" thickBot="1" x14ac:dyDescent="0.35">
      <c r="B3" s="25" cm="1">
        <f t="array" aca="1" ref="B3" ca="1">IFERROR(_xlfn.NUMBERVALUE(_xlfn.TEXTAFTER(CELL("nomfichier", A1), "]")),1234567)</f>
        <v>1234567</v>
      </c>
      <c r="C3" s="88" t="s">
        <v>68</v>
      </c>
      <c r="D3" s="88"/>
      <c r="E3" s="50" t="s">
        <v>6</v>
      </c>
    </row>
    <row r="4" spans="2:7" ht="33" customHeight="1" thickBot="1" x14ac:dyDescent="0.35">
      <c r="B4" s="53" t="s">
        <v>75</v>
      </c>
      <c r="C4" s="54" t="s">
        <v>4</v>
      </c>
      <c r="D4" s="54" t="s">
        <v>7</v>
      </c>
      <c r="E4" s="55" t="s">
        <v>3</v>
      </c>
    </row>
    <row r="5" spans="2:7" x14ac:dyDescent="0.3">
      <c r="B5" s="1" t="s">
        <v>69</v>
      </c>
      <c r="C5" s="59"/>
      <c r="D5" s="57"/>
      <c r="E5" s="63"/>
      <c r="G5" s="52"/>
    </row>
    <row r="6" spans="2:7" x14ac:dyDescent="0.3">
      <c r="B6" s="3" t="s">
        <v>33</v>
      </c>
      <c r="C6" s="60">
        <v>0.05</v>
      </c>
      <c r="D6" s="51" t="s">
        <v>6</v>
      </c>
      <c r="E6" s="21">
        <f>C6*VLOOKUP(D6,CotesMatrice,2,FALSE)</f>
        <v>0.05</v>
      </c>
      <c r="G6" s="52"/>
    </row>
    <row r="7" spans="2:7" x14ac:dyDescent="0.3">
      <c r="B7" s="3" t="s">
        <v>34</v>
      </c>
      <c r="C7" s="60">
        <v>0.03</v>
      </c>
      <c r="D7" s="51" t="s">
        <v>6</v>
      </c>
      <c r="E7" s="21">
        <f>C7*VLOOKUP(D7,CotesMatrice,2,FALSE)</f>
        <v>0.03</v>
      </c>
      <c r="G7" s="52"/>
    </row>
    <row r="8" spans="2:7" x14ac:dyDescent="0.3">
      <c r="B8" s="14" t="s">
        <v>28</v>
      </c>
      <c r="C8" s="61"/>
      <c r="D8" s="56"/>
      <c r="E8" s="22"/>
      <c r="G8" s="52"/>
    </row>
    <row r="9" spans="2:7" x14ac:dyDescent="0.3">
      <c r="B9" s="3" t="s">
        <v>35</v>
      </c>
      <c r="C9" s="60">
        <v>0.02</v>
      </c>
      <c r="D9" s="51" t="s">
        <v>6</v>
      </c>
      <c r="E9" s="21">
        <f>C9*VLOOKUP(D9,CotesMatrice,2,FALSE)</f>
        <v>0.02</v>
      </c>
      <c r="G9" s="52"/>
    </row>
    <row r="10" spans="2:7" x14ac:dyDescent="0.3">
      <c r="B10" s="3" t="s">
        <v>36</v>
      </c>
      <c r="C10" s="60">
        <v>0.05</v>
      </c>
      <c r="D10" s="51" t="s">
        <v>6</v>
      </c>
      <c r="E10" s="21">
        <f>C10*VLOOKUP(D10,CotesMatrice,2,FALSE)</f>
        <v>0.05</v>
      </c>
      <c r="G10" s="52"/>
    </row>
    <row r="11" spans="2:7" x14ac:dyDescent="0.3">
      <c r="B11" s="3" t="s">
        <v>37</v>
      </c>
      <c r="C11" s="60">
        <v>0.02</v>
      </c>
      <c r="D11" s="51" t="s">
        <v>6</v>
      </c>
      <c r="E11" s="21">
        <f>C11*VLOOKUP(D11,CotesMatrice,2,FALSE)</f>
        <v>0.02</v>
      </c>
      <c r="G11" s="52"/>
    </row>
    <row r="12" spans="2:7" x14ac:dyDescent="0.3">
      <c r="B12" s="3" t="s">
        <v>38</v>
      </c>
      <c r="C12" s="60">
        <v>0.02</v>
      </c>
      <c r="D12" s="51" t="s">
        <v>6</v>
      </c>
      <c r="E12" s="21">
        <f>C12*VLOOKUP(D12,CotesMatrice,2,FALSE)</f>
        <v>0.02</v>
      </c>
      <c r="G12" s="52"/>
    </row>
    <row r="13" spans="2:7" x14ac:dyDescent="0.3">
      <c r="B13" s="14" t="s">
        <v>30</v>
      </c>
      <c r="C13" s="61"/>
      <c r="D13" s="56"/>
      <c r="E13" s="22"/>
      <c r="G13" s="52"/>
    </row>
    <row r="14" spans="2:7" x14ac:dyDescent="0.3">
      <c r="B14" s="3" t="s">
        <v>45</v>
      </c>
      <c r="C14" s="60">
        <v>0.02</v>
      </c>
      <c r="D14" s="51" t="s">
        <v>6</v>
      </c>
      <c r="E14" s="21">
        <f>C14*VLOOKUP(D14,CotesMatrice,2,FALSE)</f>
        <v>0.02</v>
      </c>
      <c r="G14" s="52"/>
    </row>
    <row r="15" spans="2:7" x14ac:dyDescent="0.3">
      <c r="B15" s="3" t="s">
        <v>46</v>
      </c>
      <c r="C15" s="60">
        <v>0.02</v>
      </c>
      <c r="D15" s="51" t="s">
        <v>6</v>
      </c>
      <c r="E15" s="21">
        <f>C15*VLOOKUP(D15,CotesMatrice,2,FALSE)</f>
        <v>0.02</v>
      </c>
      <c r="G15" s="52"/>
    </row>
    <row r="16" spans="2:7" x14ac:dyDescent="0.3">
      <c r="B16" s="3" t="s">
        <v>47</v>
      </c>
      <c r="C16" s="60">
        <v>0.02</v>
      </c>
      <c r="D16" s="51" t="s">
        <v>6</v>
      </c>
      <c r="E16" s="21">
        <f>C16*VLOOKUP(D16,CotesMatrice,2,FALSE)</f>
        <v>0.02</v>
      </c>
      <c r="G16" s="52"/>
    </row>
    <row r="17" spans="2:7" x14ac:dyDescent="0.3">
      <c r="B17" s="3" t="s">
        <v>70</v>
      </c>
      <c r="C17" s="60">
        <v>0.05</v>
      </c>
      <c r="D17" s="51" t="s">
        <v>6</v>
      </c>
      <c r="E17" s="21">
        <f>C17*VLOOKUP(D17,CotesMatrice,2,FALSE)</f>
        <v>0.05</v>
      </c>
      <c r="G17" s="52"/>
    </row>
    <row r="18" spans="2:7" x14ac:dyDescent="0.3">
      <c r="B18" s="3" t="s">
        <v>48</v>
      </c>
      <c r="C18" s="60">
        <v>0.02</v>
      </c>
      <c r="D18" s="51" t="s">
        <v>6</v>
      </c>
      <c r="E18" s="21">
        <f>C18*VLOOKUP(D18,CotesMatrice,2,FALSE)</f>
        <v>0.02</v>
      </c>
      <c r="G18" s="52"/>
    </row>
    <row r="19" spans="2:7" x14ac:dyDescent="0.3">
      <c r="B19" s="14" t="s">
        <v>0</v>
      </c>
      <c r="C19" s="61"/>
      <c r="D19" s="56"/>
      <c r="E19" s="22"/>
      <c r="G19" s="52"/>
    </row>
    <row r="20" spans="2:7" x14ac:dyDescent="0.3">
      <c r="B20" s="3" t="s">
        <v>1</v>
      </c>
      <c r="C20" s="60">
        <v>0.02</v>
      </c>
      <c r="D20" s="51" t="s">
        <v>6</v>
      </c>
      <c r="E20" s="21">
        <f>C20*VLOOKUP(D20,CotesMatrice,2,FALSE)</f>
        <v>0.02</v>
      </c>
      <c r="G20" s="52"/>
    </row>
    <row r="21" spans="2:7" x14ac:dyDescent="0.3">
      <c r="B21" s="3" t="s">
        <v>49</v>
      </c>
      <c r="C21" s="60">
        <v>0.02</v>
      </c>
      <c r="D21" s="51" t="s">
        <v>6</v>
      </c>
      <c r="E21" s="21">
        <f>C21*VLOOKUP(D21,CotesMatrice,2,FALSE)</f>
        <v>0.02</v>
      </c>
      <c r="G21" s="52"/>
    </row>
    <row r="22" spans="2:7" x14ac:dyDescent="0.3">
      <c r="B22" s="3" t="s">
        <v>50</v>
      </c>
      <c r="C22" s="60">
        <v>0.05</v>
      </c>
      <c r="D22" s="51" t="s">
        <v>6</v>
      </c>
      <c r="E22" s="21">
        <f>C22*VLOOKUP(D22,CotesMatrice,2,FALSE)</f>
        <v>0.05</v>
      </c>
      <c r="G22" s="52"/>
    </row>
    <row r="23" spans="2:7" x14ac:dyDescent="0.3">
      <c r="B23" s="14" t="s">
        <v>32</v>
      </c>
      <c r="C23" s="61"/>
      <c r="D23" s="56"/>
      <c r="E23" s="22"/>
      <c r="G23" s="52"/>
    </row>
    <row r="24" spans="2:7" x14ac:dyDescent="0.3">
      <c r="B24" s="3" t="s">
        <v>51</v>
      </c>
      <c r="C24" s="60">
        <v>0.02</v>
      </c>
      <c r="D24" s="51" t="s">
        <v>6</v>
      </c>
      <c r="E24" s="21">
        <f>C24*VLOOKUP(D24,CotesMatrice,2,FALSE)</f>
        <v>0.02</v>
      </c>
      <c r="G24" s="52"/>
    </row>
    <row r="25" spans="2:7" x14ac:dyDescent="0.3">
      <c r="B25" s="3" t="s">
        <v>52</v>
      </c>
      <c r="C25" s="60">
        <v>0.02</v>
      </c>
      <c r="D25" s="51" t="s">
        <v>6</v>
      </c>
      <c r="E25" s="21">
        <f>C25*VLOOKUP(D25,CotesMatrice,2,FALSE)</f>
        <v>0.02</v>
      </c>
      <c r="G25" s="52"/>
    </row>
    <row r="26" spans="2:7" ht="15" thickBot="1" x14ac:dyDescent="0.35">
      <c r="B26" s="49" t="s">
        <v>54</v>
      </c>
      <c r="C26" s="62">
        <v>0.1</v>
      </c>
      <c r="D26" s="58" t="s">
        <v>6</v>
      </c>
      <c r="E26" s="64">
        <f>C26*VLOOKUP(D26,CotesMatrice,2,FALSE)</f>
        <v>0.1</v>
      </c>
      <c r="G26" s="52"/>
    </row>
    <row r="27" spans="2:7" ht="15" thickBot="1" x14ac:dyDescent="0.35">
      <c r="B27" s="4" t="s">
        <v>5</v>
      </c>
      <c r="C27" s="67"/>
      <c r="D27" s="5"/>
      <c r="E27" s="6">
        <f>SUM(E5:E26)/55*100</f>
        <v>1</v>
      </c>
    </row>
    <row r="28" spans="2:7" ht="33" customHeight="1" thickBot="1" x14ac:dyDescent="0.35">
      <c r="B28" s="17" t="s">
        <v>9</v>
      </c>
      <c r="C28" s="16" t="s">
        <v>4</v>
      </c>
      <c r="D28" s="16" t="s">
        <v>7</v>
      </c>
      <c r="E28" s="18" t="s">
        <v>3</v>
      </c>
    </row>
    <row r="29" spans="2:7" x14ac:dyDescent="0.3">
      <c r="B29" s="1" t="s">
        <v>55</v>
      </c>
      <c r="C29" s="2"/>
      <c r="D29" s="2"/>
      <c r="E29" s="13"/>
    </row>
    <row r="30" spans="2:7" ht="72" x14ac:dyDescent="0.3">
      <c r="B30" s="10" t="s">
        <v>56</v>
      </c>
      <c r="C30" s="65">
        <v>0.3</v>
      </c>
      <c r="D30" s="65" t="s">
        <v>6</v>
      </c>
      <c r="E30" s="21">
        <f>C30*VLOOKUP(D30,CotesMatrice,2,FALSE)</f>
        <v>0.3</v>
      </c>
    </row>
    <row r="31" spans="2:7" x14ac:dyDescent="0.3">
      <c r="B31" s="14" t="s">
        <v>10</v>
      </c>
      <c r="C31" s="15"/>
      <c r="D31" s="15"/>
      <c r="E31" s="22"/>
    </row>
    <row r="32" spans="2:7" ht="138" customHeight="1" x14ac:dyDescent="0.3">
      <c r="B32" s="10" t="s">
        <v>76</v>
      </c>
      <c r="C32" s="65">
        <v>0.4</v>
      </c>
      <c r="D32" s="65" t="s">
        <v>6</v>
      </c>
      <c r="E32" s="21">
        <f>C32*VLOOKUP(D32,CotesMatrice,2,FALSE)</f>
        <v>0.4</v>
      </c>
    </row>
    <row r="33" spans="2:5" x14ac:dyDescent="0.3">
      <c r="B33" s="14" t="s">
        <v>59</v>
      </c>
      <c r="C33" s="15"/>
      <c r="D33" s="15"/>
      <c r="E33" s="22"/>
    </row>
    <row r="34" spans="2:5" ht="57.6" x14ac:dyDescent="0.3">
      <c r="B34" s="10" t="s">
        <v>60</v>
      </c>
      <c r="C34" s="65">
        <v>0.2</v>
      </c>
      <c r="D34" s="65" t="s">
        <v>6</v>
      </c>
      <c r="E34" s="21">
        <f>C34*VLOOKUP(D34,CotesMatrice,2,FALSE)</f>
        <v>0.2</v>
      </c>
    </row>
    <row r="35" spans="2:5" x14ac:dyDescent="0.3">
      <c r="B35" s="14" t="s">
        <v>12</v>
      </c>
      <c r="C35" s="15"/>
      <c r="D35" s="15"/>
      <c r="E35" s="22"/>
    </row>
    <row r="36" spans="2:5" ht="46.5" customHeight="1" thickBot="1" x14ac:dyDescent="0.35">
      <c r="B36" s="11" t="s">
        <v>58</v>
      </c>
      <c r="C36" s="12">
        <v>0.1</v>
      </c>
      <c r="D36" s="12" t="s">
        <v>6</v>
      </c>
      <c r="E36" s="64">
        <f>C36*VLOOKUP(D36,CotesMatrice,2,FALSE)</f>
        <v>0.1</v>
      </c>
    </row>
    <row r="37" spans="2:5" ht="15" thickBot="1" x14ac:dyDescent="0.35">
      <c r="B37" s="4" t="s">
        <v>5</v>
      </c>
      <c r="C37" s="66"/>
      <c r="D37" s="5"/>
      <c r="E37" s="6">
        <f>SUM(E29:E36)</f>
        <v>0.99999999999999989</v>
      </c>
    </row>
    <row r="38" spans="2:5" ht="33" customHeight="1" thickBot="1" x14ac:dyDescent="0.35">
      <c r="B38" s="17" t="s">
        <v>18</v>
      </c>
      <c r="C38" s="16"/>
      <c r="D38" s="16"/>
      <c r="E38" s="18" t="s">
        <v>11</v>
      </c>
    </row>
    <row r="39" spans="2:5" x14ac:dyDescent="0.3">
      <c r="B39" s="1" t="s">
        <v>19</v>
      </c>
      <c r="C39" s="2"/>
      <c r="D39" s="2"/>
      <c r="E39" s="13"/>
    </row>
    <row r="40" spans="2:5" ht="92.25" customHeight="1" x14ac:dyDescent="0.3">
      <c r="B40" s="10" t="s">
        <v>77</v>
      </c>
      <c r="C40" s="28"/>
      <c r="D40" s="28"/>
      <c r="E40" s="21">
        <v>0</v>
      </c>
    </row>
    <row r="41" spans="2:5" x14ac:dyDescent="0.3">
      <c r="B41" s="14" t="s">
        <v>21</v>
      </c>
      <c r="C41" s="15"/>
      <c r="D41" s="15"/>
      <c r="E41" s="22"/>
    </row>
    <row r="42" spans="2:5" x14ac:dyDescent="0.3">
      <c r="B42" s="29" t="s">
        <v>26</v>
      </c>
      <c r="C42" s="24">
        <v>0.2</v>
      </c>
      <c r="D42" s="27" t="b">
        <v>0</v>
      </c>
      <c r="E42" s="21">
        <f>C42*VLOOKUP(D42,VraiFauxMatrice,2,FALSE)</f>
        <v>0</v>
      </c>
    </row>
    <row r="43" spans="2:5" x14ac:dyDescent="0.3">
      <c r="B43" s="29" t="s">
        <v>24</v>
      </c>
      <c r="C43" s="24">
        <v>0.1</v>
      </c>
      <c r="D43" s="27" t="b">
        <v>0</v>
      </c>
      <c r="E43" s="21">
        <f>C43*VLOOKUP(D43,VraiFauxMatrice,2,FALSE)</f>
        <v>0</v>
      </c>
    </row>
    <row r="44" spans="2:5" x14ac:dyDescent="0.3">
      <c r="B44" s="29" t="s">
        <v>25</v>
      </c>
      <c r="C44" s="24">
        <f>15%</f>
        <v>0.15</v>
      </c>
      <c r="D44" s="27" t="b">
        <v>0</v>
      </c>
      <c r="E44" s="21">
        <f>C44*VLOOKUP(D44,VraiFauxMatrice,2,FALSE)</f>
        <v>0</v>
      </c>
    </row>
    <row r="45" spans="2:5" x14ac:dyDescent="0.3">
      <c r="B45" s="14" t="s">
        <v>20</v>
      </c>
      <c r="C45" s="15"/>
      <c r="D45" s="15"/>
      <c r="E45" s="22"/>
    </row>
    <row r="46" spans="2:5" ht="15" thickBot="1" x14ac:dyDescent="0.35">
      <c r="B46" s="89" t="s">
        <v>23</v>
      </c>
      <c r="C46" s="90"/>
      <c r="D46" s="23">
        <v>0</v>
      </c>
      <c r="E46" s="21">
        <f>D46*0.5%</f>
        <v>0</v>
      </c>
    </row>
    <row r="47" spans="2:5" ht="15" thickBot="1" x14ac:dyDescent="0.35">
      <c r="B47" s="72" t="s">
        <v>5</v>
      </c>
      <c r="C47" s="73"/>
      <c r="D47" s="74"/>
      <c r="E47" s="75">
        <f>SUM(E39:E46)</f>
        <v>0</v>
      </c>
    </row>
    <row r="48" spans="2:5" ht="33" customHeight="1" thickBot="1" x14ac:dyDescent="0.35">
      <c r="B48" s="17" t="s">
        <v>74</v>
      </c>
      <c r="C48" s="16"/>
      <c r="D48" s="16"/>
      <c r="E48" s="18"/>
    </row>
    <row r="49" spans="2:5" x14ac:dyDescent="0.3">
      <c r="B49" s="7" t="s">
        <v>72</v>
      </c>
      <c r="C49" s="76"/>
      <c r="D49" s="8"/>
      <c r="E49" s="9">
        <f>TotalFonctionalitées</f>
        <v>1</v>
      </c>
    </row>
    <row r="50" spans="2:5" x14ac:dyDescent="0.3">
      <c r="B50" s="84" t="s">
        <v>73</v>
      </c>
      <c r="C50" s="81"/>
      <c r="D50" s="82"/>
      <c r="E50" s="83">
        <f>TotalCompétences</f>
        <v>0.99999999999999989</v>
      </c>
    </row>
    <row r="51" spans="2:5" ht="15" thickBot="1" x14ac:dyDescent="0.35">
      <c r="B51" s="77" t="s">
        <v>18</v>
      </c>
      <c r="C51" s="78"/>
      <c r="D51" s="79"/>
      <c r="E51" s="80">
        <f>TotalPénalités</f>
        <v>0</v>
      </c>
    </row>
    <row r="52" spans="2:5" ht="33" customHeight="1" thickBot="1" x14ac:dyDescent="0.35">
      <c r="B52" s="68" t="s">
        <v>13</v>
      </c>
      <c r="C52" s="69"/>
      <c r="D52" s="70"/>
      <c r="E52" s="71">
        <f>(TotalFonctionalitées-(100%-TotalCompétences)-TotalPénalités)</f>
        <v>0.99999999999999989</v>
      </c>
    </row>
    <row r="53" spans="2:5" ht="15" thickBot="1" x14ac:dyDescent="0.35"/>
    <row r="54" spans="2:5" x14ac:dyDescent="0.3">
      <c r="B54" s="91" t="s">
        <v>2</v>
      </c>
      <c r="C54" s="92"/>
      <c r="D54" s="92"/>
      <c r="E54" s="93"/>
    </row>
    <row r="55" spans="2:5" ht="123" customHeight="1" thickBot="1" x14ac:dyDescent="0.35">
      <c r="B55" s="94"/>
      <c r="C55" s="95"/>
      <c r="D55" s="95"/>
      <c r="E55" s="96"/>
    </row>
  </sheetData>
  <mergeCells count="5">
    <mergeCell ref="B2:E2"/>
    <mergeCell ref="C3:D3"/>
    <mergeCell ref="B46:C46"/>
    <mergeCell ref="B54:E54"/>
    <mergeCell ref="B55:E55"/>
  </mergeCells>
  <dataValidations count="1">
    <dataValidation type="list" allowBlank="1" showInputMessage="1" showErrorMessage="1" sqref="D30 D36 D32 D34 D6:D7 D9:D12 D14:D18 D20:D22 D24:D26" xr:uid="{7B7FEF53-C3B9-46B0-AA48-837A2E81BEBC}">
      <formula1>Cotes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E23C-4F21-4778-ADF3-6EDD14A6F937}">
  <dimension ref="B1:G55"/>
  <sheetViews>
    <sheetView zoomScaleNormal="100" workbookViewId="0">
      <selection activeCell="B11" sqref="B11"/>
    </sheetView>
  </sheetViews>
  <sheetFormatPr baseColWidth="10" defaultRowHeight="14.4" x14ac:dyDescent="0.3"/>
  <cols>
    <col min="1" max="1" width="2.88671875" customWidth="1"/>
    <col min="2" max="2" width="77.6640625" customWidth="1"/>
    <col min="3" max="3" width="15.6640625" customWidth="1"/>
    <col min="4" max="5" width="7.6640625" customWidth="1"/>
  </cols>
  <sheetData>
    <row r="1" spans="2:7" ht="15" thickBot="1" x14ac:dyDescent="0.35"/>
    <row r="2" spans="2:7" ht="45.75" customHeight="1" x14ac:dyDescent="0.3">
      <c r="B2" s="85" t="s">
        <v>27</v>
      </c>
      <c r="C2" s="86"/>
      <c r="D2" s="86"/>
      <c r="E2" s="87"/>
    </row>
    <row r="3" spans="2:7" ht="24.75" customHeight="1" thickBot="1" x14ac:dyDescent="0.35">
      <c r="B3" s="25" cm="1">
        <f t="array" aca="1" ref="B3" ca="1">IFERROR(_xlfn.NUMBERVALUE(_xlfn.TEXTAFTER(CELL("nomfichier", A1), "]")),1234567)</f>
        <v>1234567</v>
      </c>
      <c r="C3" s="88" t="s">
        <v>68</v>
      </c>
      <c r="D3" s="88"/>
      <c r="E3" s="50" t="s">
        <v>6</v>
      </c>
    </row>
    <row r="4" spans="2:7" ht="33" customHeight="1" x14ac:dyDescent="0.3">
      <c r="B4" s="53" t="s">
        <v>8</v>
      </c>
      <c r="C4" s="54" t="s">
        <v>4</v>
      </c>
      <c r="D4" s="54" t="s">
        <v>7</v>
      </c>
      <c r="E4" s="55" t="s">
        <v>3</v>
      </c>
    </row>
    <row r="5" spans="2:7" x14ac:dyDescent="0.3">
      <c r="B5" s="14" t="s">
        <v>29</v>
      </c>
      <c r="C5" s="61"/>
      <c r="D5" s="56"/>
      <c r="E5" s="22"/>
      <c r="G5" s="52"/>
    </row>
    <row r="6" spans="2:7" x14ac:dyDescent="0.3">
      <c r="B6" s="3" t="s">
        <v>39</v>
      </c>
      <c r="C6" s="60">
        <v>0.05</v>
      </c>
      <c r="D6" s="51" t="s">
        <v>6</v>
      </c>
      <c r="E6" s="21">
        <f t="shared" ref="E6:E12" si="0">C6*VLOOKUP(D6,CotesMatrice,2,FALSE)</f>
        <v>0.05</v>
      </c>
      <c r="G6" s="52"/>
    </row>
    <row r="7" spans="2:7" x14ac:dyDescent="0.3">
      <c r="B7" s="3" t="s">
        <v>40</v>
      </c>
      <c r="C7" s="60">
        <v>0.03</v>
      </c>
      <c r="D7" s="51" t="s">
        <v>6</v>
      </c>
      <c r="E7" s="21">
        <f t="shared" si="0"/>
        <v>0.03</v>
      </c>
      <c r="G7" s="52"/>
    </row>
    <row r="8" spans="2:7" x14ac:dyDescent="0.3">
      <c r="B8" s="3" t="s">
        <v>41</v>
      </c>
      <c r="C8" s="60">
        <v>0.05</v>
      </c>
      <c r="D8" s="51" t="s">
        <v>6</v>
      </c>
      <c r="E8" s="21">
        <f t="shared" si="0"/>
        <v>0.05</v>
      </c>
      <c r="G8" s="52"/>
    </row>
    <row r="9" spans="2:7" x14ac:dyDescent="0.3">
      <c r="B9" s="3" t="s">
        <v>42</v>
      </c>
      <c r="C9" s="60">
        <v>0.1</v>
      </c>
      <c r="D9" s="51" t="s">
        <v>6</v>
      </c>
      <c r="E9" s="21">
        <f t="shared" si="0"/>
        <v>0.1</v>
      </c>
      <c r="G9" s="52"/>
    </row>
    <row r="10" spans="2:7" x14ac:dyDescent="0.3">
      <c r="B10" s="3" t="s">
        <v>43</v>
      </c>
      <c r="C10" s="60">
        <v>0.02</v>
      </c>
      <c r="D10" s="51" t="s">
        <v>6</v>
      </c>
      <c r="E10" s="21">
        <f t="shared" si="0"/>
        <v>0.02</v>
      </c>
      <c r="G10" s="52"/>
    </row>
    <row r="11" spans="2:7" x14ac:dyDescent="0.3">
      <c r="B11" s="3" t="s">
        <v>61</v>
      </c>
      <c r="C11" s="60">
        <v>0.05</v>
      </c>
      <c r="D11" s="51" t="s">
        <v>6</v>
      </c>
      <c r="E11" s="21">
        <f t="shared" si="0"/>
        <v>0.05</v>
      </c>
      <c r="G11" s="52"/>
    </row>
    <row r="12" spans="2:7" x14ac:dyDescent="0.3">
      <c r="B12" s="3" t="s">
        <v>44</v>
      </c>
      <c r="C12" s="60">
        <v>0.02</v>
      </c>
      <c r="D12" s="51" t="s">
        <v>6</v>
      </c>
      <c r="E12" s="21">
        <f t="shared" si="0"/>
        <v>0.02</v>
      </c>
      <c r="G12" s="52"/>
    </row>
    <row r="13" spans="2:7" x14ac:dyDescent="0.3">
      <c r="B13" s="14" t="s">
        <v>31</v>
      </c>
      <c r="C13" s="61"/>
      <c r="D13" s="56"/>
      <c r="E13" s="22"/>
      <c r="G13" s="52"/>
    </row>
    <row r="14" spans="2:7" x14ac:dyDescent="0.3">
      <c r="B14" s="3" t="s">
        <v>45</v>
      </c>
      <c r="C14" s="60">
        <v>0.02</v>
      </c>
      <c r="D14" s="51" t="s">
        <v>6</v>
      </c>
      <c r="E14" s="21">
        <f>C14*VLOOKUP(D14,CotesMatrice,2,FALSE)</f>
        <v>0.02</v>
      </c>
      <c r="G14" s="52"/>
    </row>
    <row r="15" spans="2:7" x14ac:dyDescent="0.3">
      <c r="B15" s="3" t="s">
        <v>46</v>
      </c>
      <c r="C15" s="60">
        <v>0.02</v>
      </c>
      <c r="D15" s="51" t="s">
        <v>6</v>
      </c>
      <c r="E15" s="21">
        <f>C15*VLOOKUP(D15,CotesMatrice,2,FALSE)</f>
        <v>0.02</v>
      </c>
      <c r="G15" s="52"/>
    </row>
    <row r="16" spans="2:7" x14ac:dyDescent="0.3">
      <c r="B16" s="3" t="s">
        <v>71</v>
      </c>
      <c r="C16" s="60">
        <v>0.05</v>
      </c>
      <c r="D16" s="51" t="s">
        <v>6</v>
      </c>
      <c r="E16" s="21">
        <f>C16*VLOOKUP(D16,CotesMatrice,2,FALSE)</f>
        <v>0.05</v>
      </c>
      <c r="G16" s="52"/>
    </row>
    <row r="17" spans="2:7" x14ac:dyDescent="0.3">
      <c r="B17" s="3" t="s">
        <v>48</v>
      </c>
      <c r="C17" s="60">
        <v>0.02</v>
      </c>
      <c r="D17" s="51" t="s">
        <v>6</v>
      </c>
      <c r="E17" s="21">
        <f>C17*VLOOKUP(D17,CotesMatrice,2,FALSE)</f>
        <v>0.02</v>
      </c>
      <c r="G17" s="52"/>
    </row>
    <row r="18" spans="2:7" x14ac:dyDescent="0.3">
      <c r="B18" s="14" t="s">
        <v>0</v>
      </c>
      <c r="C18" s="61"/>
      <c r="D18" s="56"/>
      <c r="E18" s="22"/>
      <c r="G18" s="52"/>
    </row>
    <row r="19" spans="2:7" x14ac:dyDescent="0.3">
      <c r="B19" s="3" t="s">
        <v>1</v>
      </c>
      <c r="C19" s="60">
        <v>0.02</v>
      </c>
      <c r="D19" s="51" t="s">
        <v>6</v>
      </c>
      <c r="E19" s="21">
        <f>C19*VLOOKUP(D19,CotesMatrice,2,FALSE)</f>
        <v>0.02</v>
      </c>
      <c r="G19" s="52"/>
    </row>
    <row r="20" spans="2:7" x14ac:dyDescent="0.3">
      <c r="B20" s="3" t="s">
        <v>49</v>
      </c>
      <c r="C20" s="60">
        <v>0.02</v>
      </c>
      <c r="D20" s="51" t="s">
        <v>6</v>
      </c>
      <c r="E20" s="21">
        <f>C20*VLOOKUP(D20,CotesMatrice,2,FALSE)</f>
        <v>0.02</v>
      </c>
      <c r="G20" s="52"/>
    </row>
    <row r="21" spans="2:7" x14ac:dyDescent="0.3">
      <c r="B21" s="3" t="s">
        <v>50</v>
      </c>
      <c r="C21" s="60">
        <v>0.05</v>
      </c>
      <c r="D21" s="51" t="s">
        <v>6</v>
      </c>
      <c r="E21" s="21">
        <f>C21*VLOOKUP(D21,CotesMatrice,2,FALSE)</f>
        <v>0.05</v>
      </c>
      <c r="G21" s="52"/>
    </row>
    <row r="22" spans="2:7" x14ac:dyDescent="0.3">
      <c r="B22" s="14" t="s">
        <v>32</v>
      </c>
      <c r="C22" s="61"/>
      <c r="D22" s="56"/>
      <c r="E22" s="22"/>
      <c r="G22" s="52"/>
    </row>
    <row r="23" spans="2:7" x14ac:dyDescent="0.3">
      <c r="B23" s="3" t="s">
        <v>51</v>
      </c>
      <c r="C23" s="60">
        <v>0.02</v>
      </c>
      <c r="D23" s="51" t="s">
        <v>6</v>
      </c>
      <c r="E23" s="21">
        <f>C23*VLOOKUP(D23,CotesMatrice,2,FALSE)</f>
        <v>0.02</v>
      </c>
      <c r="G23" s="52"/>
    </row>
    <row r="24" spans="2:7" x14ac:dyDescent="0.3">
      <c r="B24" s="3" t="s">
        <v>52</v>
      </c>
      <c r="C24" s="60">
        <v>0.02</v>
      </c>
      <c r="D24" s="51" t="s">
        <v>6</v>
      </c>
      <c r="E24" s="21">
        <f>C24*VLOOKUP(D24,CotesMatrice,2,FALSE)</f>
        <v>0.02</v>
      </c>
      <c r="G24" s="52"/>
    </row>
    <row r="25" spans="2:7" x14ac:dyDescent="0.3">
      <c r="B25" s="3" t="s">
        <v>53</v>
      </c>
      <c r="C25" s="60">
        <v>0.02</v>
      </c>
      <c r="D25" s="51" t="s">
        <v>6</v>
      </c>
      <c r="E25" s="21">
        <f>C25*VLOOKUP(D25,CotesMatrice,2,FALSE)</f>
        <v>0.02</v>
      </c>
      <c r="G25" s="52"/>
    </row>
    <row r="26" spans="2:7" ht="15" thickBot="1" x14ac:dyDescent="0.35">
      <c r="B26" s="49" t="s">
        <v>54</v>
      </c>
      <c r="C26" s="62">
        <v>0.1</v>
      </c>
      <c r="D26" s="58" t="s">
        <v>6</v>
      </c>
      <c r="E26" s="64">
        <f>C26*VLOOKUP(D26,CotesMatrice,2,FALSE)</f>
        <v>0.1</v>
      </c>
      <c r="G26" s="52"/>
    </row>
    <row r="27" spans="2:7" ht="15" thickBot="1" x14ac:dyDescent="0.35">
      <c r="B27" s="4" t="s">
        <v>5</v>
      </c>
      <c r="C27" s="67"/>
      <c r="D27" s="5"/>
      <c r="E27" s="6">
        <f>SUM(E5:E26)</f>
        <v>0.68000000000000016</v>
      </c>
    </row>
    <row r="28" spans="2:7" ht="33" customHeight="1" thickBot="1" x14ac:dyDescent="0.35">
      <c r="B28" s="17" t="s">
        <v>9</v>
      </c>
      <c r="C28" s="16" t="s">
        <v>4</v>
      </c>
      <c r="D28" s="16" t="s">
        <v>7</v>
      </c>
      <c r="E28" s="18" t="s">
        <v>3</v>
      </c>
    </row>
    <row r="29" spans="2:7" x14ac:dyDescent="0.3">
      <c r="B29" s="1" t="s">
        <v>55</v>
      </c>
      <c r="C29" s="2"/>
      <c r="D29" s="2"/>
      <c r="E29" s="13"/>
    </row>
    <row r="30" spans="2:7" ht="72" x14ac:dyDescent="0.3">
      <c r="B30" s="10" t="s">
        <v>56</v>
      </c>
      <c r="C30" s="65">
        <v>0.3</v>
      </c>
      <c r="D30" s="65" t="s">
        <v>6</v>
      </c>
      <c r="E30" s="21">
        <f>C30*VLOOKUP(D30,CotesMatrice,2,FALSE)</f>
        <v>0.3</v>
      </c>
    </row>
    <row r="31" spans="2:7" x14ac:dyDescent="0.3">
      <c r="B31" s="14" t="s">
        <v>10</v>
      </c>
      <c r="C31" s="15"/>
      <c r="D31" s="15"/>
      <c r="E31" s="22"/>
    </row>
    <row r="32" spans="2:7" ht="150.75" customHeight="1" x14ac:dyDescent="0.3">
      <c r="B32" s="10" t="s">
        <v>57</v>
      </c>
      <c r="C32" s="65">
        <v>0.4</v>
      </c>
      <c r="D32" s="65" t="s">
        <v>6</v>
      </c>
      <c r="E32" s="21">
        <f>C32*VLOOKUP(D32,CotesMatrice,2,FALSE)</f>
        <v>0.4</v>
      </c>
    </row>
    <row r="33" spans="2:5" x14ac:dyDescent="0.3">
      <c r="B33" s="14" t="s">
        <v>59</v>
      </c>
      <c r="C33" s="15"/>
      <c r="D33" s="15"/>
      <c r="E33" s="22"/>
    </row>
    <row r="34" spans="2:5" ht="57.6" x14ac:dyDescent="0.3">
      <c r="B34" s="10" t="s">
        <v>60</v>
      </c>
      <c r="C34" s="65">
        <v>0.2</v>
      </c>
      <c r="D34" s="65" t="s">
        <v>6</v>
      </c>
      <c r="E34" s="21">
        <f>C34*VLOOKUP(D34,CotesMatrice,2,FALSE)</f>
        <v>0.2</v>
      </c>
    </row>
    <row r="35" spans="2:5" x14ac:dyDescent="0.3">
      <c r="B35" s="14" t="s">
        <v>12</v>
      </c>
      <c r="C35" s="15"/>
      <c r="D35" s="15"/>
      <c r="E35" s="22"/>
    </row>
    <row r="36" spans="2:5" ht="46.5" customHeight="1" thickBot="1" x14ac:dyDescent="0.35">
      <c r="B36" s="11" t="s">
        <v>58</v>
      </c>
      <c r="C36" s="12">
        <v>0.1</v>
      </c>
      <c r="D36" s="12" t="s">
        <v>6</v>
      </c>
      <c r="E36" s="64">
        <f>C36*VLOOKUP(D36,CotesMatrice,2,FALSE)</f>
        <v>0.1</v>
      </c>
    </row>
    <row r="37" spans="2:5" ht="15" thickBot="1" x14ac:dyDescent="0.35">
      <c r="B37" s="4" t="s">
        <v>5</v>
      </c>
      <c r="C37" s="66"/>
      <c r="D37" s="5"/>
      <c r="E37" s="6">
        <f>SUM(E29:E36)</f>
        <v>0.99999999999999989</v>
      </c>
    </row>
    <row r="38" spans="2:5" ht="33" customHeight="1" thickBot="1" x14ac:dyDescent="0.35">
      <c r="B38" s="17" t="s">
        <v>18</v>
      </c>
      <c r="C38" s="16"/>
      <c r="D38" s="16"/>
      <c r="E38" s="18" t="s">
        <v>11</v>
      </c>
    </row>
    <row r="39" spans="2:5" x14ac:dyDescent="0.3">
      <c r="B39" s="1" t="s">
        <v>19</v>
      </c>
      <c r="C39" s="2"/>
      <c r="D39" s="2"/>
      <c r="E39" s="13"/>
    </row>
    <row r="40" spans="2:5" ht="92.25" customHeight="1" x14ac:dyDescent="0.3">
      <c r="B40" s="10" t="s">
        <v>22</v>
      </c>
      <c r="C40" s="28"/>
      <c r="D40" s="28"/>
      <c r="E40" s="21">
        <v>0</v>
      </c>
    </row>
    <row r="41" spans="2:5" x14ac:dyDescent="0.3">
      <c r="B41" s="14" t="s">
        <v>21</v>
      </c>
      <c r="C41" s="15"/>
      <c r="D41" s="15"/>
      <c r="E41" s="22"/>
    </row>
    <row r="42" spans="2:5" x14ac:dyDescent="0.3">
      <c r="B42" s="29" t="s">
        <v>26</v>
      </c>
      <c r="C42" s="24">
        <v>0.2</v>
      </c>
      <c r="D42" s="27" t="b">
        <v>0</v>
      </c>
      <c r="E42" s="21">
        <f>C42*VLOOKUP(D42,VraiFauxMatrice,2,FALSE)</f>
        <v>0</v>
      </c>
    </row>
    <row r="43" spans="2:5" x14ac:dyDescent="0.3">
      <c r="B43" s="29" t="s">
        <v>24</v>
      </c>
      <c r="C43" s="24">
        <v>0.1</v>
      </c>
      <c r="D43" s="27" t="b">
        <v>0</v>
      </c>
      <c r="E43" s="21">
        <f>C43*VLOOKUP(D43,VraiFauxMatrice,2,FALSE)</f>
        <v>0</v>
      </c>
    </row>
    <row r="44" spans="2:5" x14ac:dyDescent="0.3">
      <c r="B44" s="29" t="s">
        <v>25</v>
      </c>
      <c r="C44" s="24">
        <f>(TotalFonctionalitées+TotalCompétences)*15%</f>
        <v>0.252</v>
      </c>
      <c r="D44" s="27" t="b">
        <v>0</v>
      </c>
      <c r="E44" s="21">
        <f>C44*VLOOKUP(D44,VraiFauxMatrice,2,FALSE)</f>
        <v>0</v>
      </c>
    </row>
    <row r="45" spans="2:5" x14ac:dyDescent="0.3">
      <c r="B45" s="14" t="s">
        <v>20</v>
      </c>
      <c r="C45" s="15"/>
      <c r="D45" s="15"/>
      <c r="E45" s="22"/>
    </row>
    <row r="46" spans="2:5" ht="15" thickBot="1" x14ac:dyDescent="0.35">
      <c r="B46" s="89" t="s">
        <v>23</v>
      </c>
      <c r="C46" s="90"/>
      <c r="D46" s="23">
        <v>0</v>
      </c>
      <c r="E46" s="21">
        <f>D46*0.5%</f>
        <v>0</v>
      </c>
    </row>
    <row r="47" spans="2:5" ht="15" thickBot="1" x14ac:dyDescent="0.35">
      <c r="B47" s="72" t="s">
        <v>5</v>
      </c>
      <c r="C47" s="73"/>
      <c r="D47" s="74"/>
      <c r="E47" s="75">
        <f>SUM(E39:E46)</f>
        <v>0</v>
      </c>
    </row>
    <row r="48" spans="2:5" ht="33" customHeight="1" thickBot="1" x14ac:dyDescent="0.35">
      <c r="B48" s="17" t="s">
        <v>74</v>
      </c>
      <c r="C48" s="16"/>
      <c r="D48" s="16"/>
      <c r="E48" s="18"/>
    </row>
    <row r="49" spans="2:5" x14ac:dyDescent="0.3">
      <c r="B49" s="7" t="s">
        <v>72</v>
      </c>
      <c r="C49" s="76"/>
      <c r="D49" s="8"/>
      <c r="E49" s="9">
        <f>TotalFonctionalitées</f>
        <v>0.68000000000000016</v>
      </c>
    </row>
    <row r="50" spans="2:5" x14ac:dyDescent="0.3">
      <c r="B50" s="84" t="s">
        <v>73</v>
      </c>
      <c r="C50" s="81"/>
      <c r="D50" s="82"/>
      <c r="E50" s="83">
        <f>TotalCompétences</f>
        <v>0.99999999999999989</v>
      </c>
    </row>
    <row r="51" spans="2:5" ht="15" thickBot="1" x14ac:dyDescent="0.35">
      <c r="B51" s="77" t="s">
        <v>18</v>
      </c>
      <c r="C51" s="78"/>
      <c r="D51" s="79"/>
      <c r="E51" s="80">
        <f>TotalPénalités</f>
        <v>0</v>
      </c>
    </row>
    <row r="52" spans="2:5" ht="33" customHeight="1" thickBot="1" x14ac:dyDescent="0.35">
      <c r="B52" s="68" t="s">
        <v>13</v>
      </c>
      <c r="C52" s="69"/>
      <c r="D52" s="70"/>
      <c r="E52" s="71">
        <f>TotalFonctionalitées-(100%-TotalCompétences)-TotalPénalités</f>
        <v>0.68</v>
      </c>
    </row>
    <row r="53" spans="2:5" ht="15" thickBot="1" x14ac:dyDescent="0.35"/>
    <row r="54" spans="2:5" x14ac:dyDescent="0.3">
      <c r="B54" s="91" t="s">
        <v>2</v>
      </c>
      <c r="C54" s="92"/>
      <c r="D54" s="92"/>
      <c r="E54" s="93"/>
    </row>
    <row r="55" spans="2:5" ht="123" customHeight="1" thickBot="1" x14ac:dyDescent="0.35">
      <c r="B55" s="94"/>
      <c r="C55" s="95"/>
      <c r="D55" s="95"/>
      <c r="E55" s="96"/>
    </row>
  </sheetData>
  <mergeCells count="5">
    <mergeCell ref="B2:E2"/>
    <mergeCell ref="B46:C46"/>
    <mergeCell ref="B54:E54"/>
    <mergeCell ref="B55:E55"/>
    <mergeCell ref="C3:D3"/>
  </mergeCells>
  <dataValidations count="1">
    <dataValidation type="list" allowBlank="1" showInputMessage="1" showErrorMessage="1" sqref="D30 D36 D32 D34 D23:D26 D6:D12 D14:D17 D19:D21" xr:uid="{2784141E-00D6-4738-AD2B-E34A10B723B3}">
      <formula1>Cotes</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E3E55-41C3-43EA-AB66-5AC514A847BF}">
  <dimension ref="B1:H31"/>
  <sheetViews>
    <sheetView tabSelected="1" workbookViewId="0">
      <selection activeCell="E33" sqref="E33"/>
    </sheetView>
  </sheetViews>
  <sheetFormatPr baseColWidth="10" defaultRowHeight="14.4" x14ac:dyDescent="0.3"/>
  <cols>
    <col min="1" max="1" width="5.44140625" customWidth="1"/>
    <col min="4" max="4" width="34.44140625" bestFit="1" customWidth="1"/>
    <col min="5" max="5" width="10.6640625" customWidth="1"/>
    <col min="6" max="6" width="4.109375" customWidth="1"/>
  </cols>
  <sheetData>
    <row r="1" spans="2:8" ht="15" thickBot="1" x14ac:dyDescent="0.35"/>
    <row r="2" spans="2:8" ht="15" thickBot="1" x14ac:dyDescent="0.35">
      <c r="B2" s="30" t="s">
        <v>62</v>
      </c>
      <c r="C2" s="99"/>
      <c r="D2" s="31" t="s">
        <v>63</v>
      </c>
      <c r="E2" s="32" t="s">
        <v>3</v>
      </c>
      <c r="G2" s="97" t="s">
        <v>64</v>
      </c>
      <c r="H2" s="98"/>
    </row>
    <row r="3" spans="2:8" x14ac:dyDescent="0.3">
      <c r="B3" s="36" t="str">
        <f>"2311940"</f>
        <v>2311940</v>
      </c>
      <c r="C3" s="103" t="str">
        <f>"Beaulieu"</f>
        <v>Beaulieu</v>
      </c>
      <c r="D3" s="103" t="str">
        <f>"Olivier"</f>
        <v>Olivier</v>
      </c>
      <c r="E3" s="33" t="e" cm="1">
        <f t="array" aca="1" ref="E3" ca="1">INDIRECT(B3&amp;"!E60")</f>
        <v>#REF!</v>
      </c>
      <c r="G3" s="34" t="str">
        <f t="shared" ref="G3:G27" si="0">B3</f>
        <v>2311940</v>
      </c>
      <c r="H3" s="35" t="e">
        <f ca="1">E3*100</f>
        <v>#REF!</v>
      </c>
    </row>
    <row r="4" spans="2:8" x14ac:dyDescent="0.3">
      <c r="B4" s="36" t="str">
        <f>"2349102"</f>
        <v>2349102</v>
      </c>
      <c r="C4" s="103" t="str">
        <f>"Bluteau"</f>
        <v>Bluteau</v>
      </c>
      <c r="D4" s="103" t="str">
        <f>"Logan"</f>
        <v>Logan</v>
      </c>
      <c r="E4" s="33" t="e" cm="1">
        <f t="array" aca="1" ref="E4" ca="1">INDIRECT(B4&amp;"!E60")</f>
        <v>#REF!</v>
      </c>
      <c r="G4" s="36" t="str">
        <f t="shared" si="0"/>
        <v>2349102</v>
      </c>
      <c r="H4" s="37" t="e">
        <f t="shared" ref="H4:H27" ca="1" si="1">E4*100</f>
        <v>#REF!</v>
      </c>
    </row>
    <row r="5" spans="2:8" x14ac:dyDescent="0.3">
      <c r="B5" s="36" t="str">
        <f>"2440133"</f>
        <v>2440133</v>
      </c>
      <c r="C5" s="103" t="str">
        <f>"Bowes"</f>
        <v>Bowes</v>
      </c>
      <c r="D5" s="103" t="str">
        <f>"Marc-Antoine"</f>
        <v>Marc-Antoine</v>
      </c>
      <c r="E5" s="33" t="e" cm="1">
        <f t="array" aca="1" ref="E5" ca="1">INDIRECT(B5&amp;"!E60")</f>
        <v>#REF!</v>
      </c>
      <c r="G5" s="36" t="str">
        <f t="shared" si="0"/>
        <v>2440133</v>
      </c>
      <c r="H5" s="37" t="e">
        <f t="shared" ca="1" si="1"/>
        <v>#REF!</v>
      </c>
    </row>
    <row r="6" spans="2:8" x14ac:dyDescent="0.3">
      <c r="B6" s="36" t="str">
        <f>"2444134"</f>
        <v>2444134</v>
      </c>
      <c r="C6" s="103" t="str">
        <f>"Brière"</f>
        <v>Brière</v>
      </c>
      <c r="D6" s="103" t="str">
        <f>"Zachary"</f>
        <v>Zachary</v>
      </c>
      <c r="E6" s="33" t="e" cm="1">
        <f t="array" aca="1" ref="E6" ca="1">INDIRECT(B6&amp;"!E60")</f>
        <v>#REF!</v>
      </c>
      <c r="G6" s="36" t="str">
        <f t="shared" si="0"/>
        <v>2444134</v>
      </c>
      <c r="H6" s="37" t="e">
        <f t="shared" ca="1" si="1"/>
        <v>#REF!</v>
      </c>
    </row>
    <row r="7" spans="2:8" x14ac:dyDescent="0.3">
      <c r="B7" s="36" t="str">
        <f>"2434540"</f>
        <v>2434540</v>
      </c>
      <c r="C7" s="103" t="str">
        <f>"Charland"</f>
        <v>Charland</v>
      </c>
      <c r="D7" s="103" t="str">
        <f>"Olivier"</f>
        <v>Olivier</v>
      </c>
      <c r="E7" s="33" t="e" cm="1">
        <f t="array" aca="1" ref="E7" ca="1">INDIRECT(B7&amp;"!E60")</f>
        <v>#REF!</v>
      </c>
      <c r="G7" s="36" t="str">
        <f t="shared" si="0"/>
        <v>2434540</v>
      </c>
      <c r="H7" s="37" t="e">
        <f t="shared" ca="1" si="1"/>
        <v>#REF!</v>
      </c>
    </row>
    <row r="8" spans="2:8" x14ac:dyDescent="0.3">
      <c r="B8" s="36" t="str">
        <f>"2440589"</f>
        <v>2440589</v>
      </c>
      <c r="C8" s="103" t="str">
        <f>"Chénard"</f>
        <v>Chénard</v>
      </c>
      <c r="D8" s="103" t="str">
        <f>"Nicolas"</f>
        <v>Nicolas</v>
      </c>
      <c r="E8" s="33" t="e" cm="1">
        <f t="array" aca="1" ref="E8" ca="1">INDIRECT(B8&amp;"!E60")</f>
        <v>#REF!</v>
      </c>
      <c r="G8" s="36" t="str">
        <f t="shared" si="0"/>
        <v>2440589</v>
      </c>
      <c r="H8" s="37" t="e">
        <f t="shared" ca="1" si="1"/>
        <v>#REF!</v>
      </c>
    </row>
    <row r="9" spans="2:8" x14ac:dyDescent="0.3">
      <c r="B9" s="36" t="str">
        <f>"2444080"</f>
        <v>2444080</v>
      </c>
      <c r="C9" s="103" t="str">
        <f>"Cormier"</f>
        <v>Cormier</v>
      </c>
      <c r="D9" s="103" t="str">
        <f>"Charles"</f>
        <v>Charles</v>
      </c>
      <c r="E9" s="33" t="e" cm="1">
        <f t="array" aca="1" ref="E9" ca="1">INDIRECT(B9&amp;"!E60")</f>
        <v>#REF!</v>
      </c>
      <c r="G9" s="36" t="str">
        <f t="shared" si="0"/>
        <v>2444080</v>
      </c>
      <c r="H9" s="37" t="e">
        <f t="shared" ca="1" si="1"/>
        <v>#REF!</v>
      </c>
    </row>
    <row r="10" spans="2:8" x14ac:dyDescent="0.3">
      <c r="B10" s="36" t="str">
        <f>"1743033"</f>
        <v>1743033</v>
      </c>
      <c r="C10" s="103" t="str">
        <f>"Dufour-Borz"</f>
        <v>Dufour-Borz</v>
      </c>
      <c r="D10" s="103" t="str">
        <f>"William"</f>
        <v>William</v>
      </c>
      <c r="E10" s="33" t="e" cm="1">
        <f t="array" aca="1" ref="E10" ca="1">INDIRECT(B10&amp;"!E60")</f>
        <v>#REF!</v>
      </c>
      <c r="G10" s="36" t="str">
        <f t="shared" si="0"/>
        <v>1743033</v>
      </c>
      <c r="H10" s="37" t="e">
        <f t="shared" ca="1" si="1"/>
        <v>#REF!</v>
      </c>
    </row>
    <row r="11" spans="2:8" x14ac:dyDescent="0.3">
      <c r="B11" s="36" t="str">
        <f>"2435841"</f>
        <v>2435841</v>
      </c>
      <c r="C11" s="103" t="str">
        <f>"Fawns"</f>
        <v>Fawns</v>
      </c>
      <c r="D11" s="103" t="str">
        <f>"William"</f>
        <v>William</v>
      </c>
      <c r="E11" s="33" t="e" cm="1">
        <f t="array" aca="1" ref="E11" ca="1">INDIRECT(B11&amp;"!E60")</f>
        <v>#REF!</v>
      </c>
      <c r="G11" s="36" t="str">
        <f t="shared" si="0"/>
        <v>2435841</v>
      </c>
      <c r="H11" s="37" t="e">
        <f t="shared" ca="1" si="1"/>
        <v>#REF!</v>
      </c>
    </row>
    <row r="12" spans="2:8" x14ac:dyDescent="0.3">
      <c r="B12" s="36" t="str">
        <f>"2436244"</f>
        <v>2436244</v>
      </c>
      <c r="C12" s="103" t="str">
        <f>"Gaulin"</f>
        <v>Gaulin</v>
      </c>
      <c r="D12" s="103" t="str">
        <f>"Arnaud"</f>
        <v>Arnaud</v>
      </c>
      <c r="E12" s="33" t="e" cm="1">
        <f t="array" aca="1" ref="E12" ca="1">INDIRECT(B12&amp;"!E60")</f>
        <v>#REF!</v>
      </c>
      <c r="G12" s="36" t="str">
        <f t="shared" si="0"/>
        <v>2436244</v>
      </c>
      <c r="H12" s="37" t="e">
        <f t="shared" ca="1" si="1"/>
        <v>#REF!</v>
      </c>
    </row>
    <row r="13" spans="2:8" x14ac:dyDescent="0.3">
      <c r="B13" s="36" t="str">
        <f>"2435281"</f>
        <v>2435281</v>
      </c>
      <c r="C13" s="103" t="str">
        <f>"Hamel"</f>
        <v>Hamel</v>
      </c>
      <c r="D13" s="103" t="str">
        <f>"Charles"</f>
        <v>Charles</v>
      </c>
      <c r="E13" s="33" t="e" cm="1">
        <f t="array" aca="1" ref="E13" ca="1">INDIRECT(B13&amp;"!E60")</f>
        <v>#REF!</v>
      </c>
      <c r="G13" s="36" t="str">
        <f t="shared" si="0"/>
        <v>2435281</v>
      </c>
      <c r="H13" s="37" t="e">
        <f t="shared" ca="1" si="1"/>
        <v>#REF!</v>
      </c>
    </row>
    <row r="14" spans="2:8" x14ac:dyDescent="0.3">
      <c r="B14" s="36" t="str">
        <f>"2354104"</f>
        <v>2354104</v>
      </c>
      <c r="C14" s="103" t="str">
        <f>"Idrissa Adamou"</f>
        <v>Idrissa Adamou</v>
      </c>
      <c r="D14" s="103" t="str">
        <f>"Khaled"</f>
        <v>Khaled</v>
      </c>
      <c r="E14" s="33" t="e" cm="1">
        <f t="array" aca="1" ref="E14" ca="1">INDIRECT(B14&amp;"!E60")</f>
        <v>#REF!</v>
      </c>
      <c r="G14" s="36" t="str">
        <f t="shared" si="0"/>
        <v>2354104</v>
      </c>
      <c r="H14" s="37" t="e">
        <f t="shared" ca="1" si="1"/>
        <v>#REF!</v>
      </c>
    </row>
    <row r="15" spans="2:8" x14ac:dyDescent="0.3">
      <c r="B15" s="36" t="str">
        <f>"2435575"</f>
        <v>2435575</v>
      </c>
      <c r="C15" s="103" t="str">
        <f>"Langlois"</f>
        <v>Langlois</v>
      </c>
      <c r="D15" s="103" t="str">
        <f>"Thomas"</f>
        <v>Thomas</v>
      </c>
      <c r="E15" s="33" t="e" cm="1">
        <f t="array" aca="1" ref="E15" ca="1">INDIRECT(B15&amp;"!E60")</f>
        <v>#REF!</v>
      </c>
      <c r="G15" s="36" t="str">
        <f t="shared" si="0"/>
        <v>2435575</v>
      </c>
      <c r="H15" s="37" t="e">
        <f t="shared" ca="1" si="1"/>
        <v>#REF!</v>
      </c>
    </row>
    <row r="16" spans="2:8" x14ac:dyDescent="0.3">
      <c r="B16" s="36" t="str">
        <f>"2445275"</f>
        <v>2445275</v>
      </c>
      <c r="C16" s="103" t="str">
        <f>"Lepage"</f>
        <v>Lepage</v>
      </c>
      <c r="D16" s="103" t="str">
        <f>"Xavier"</f>
        <v>Xavier</v>
      </c>
      <c r="E16" s="33" t="e" cm="1">
        <f t="array" aca="1" ref="E16" ca="1">INDIRECT(B16&amp;"!E60")</f>
        <v>#REF!</v>
      </c>
      <c r="G16" s="36" t="str">
        <f t="shared" si="0"/>
        <v>2445275</v>
      </c>
      <c r="H16" s="37" t="e">
        <f t="shared" ca="1" si="1"/>
        <v>#REF!</v>
      </c>
    </row>
    <row r="17" spans="2:8" x14ac:dyDescent="0.3">
      <c r="B17" s="36" t="str">
        <f>"2435824"</f>
        <v>2435824</v>
      </c>
      <c r="C17" s="103" t="str">
        <f>"Martin"</f>
        <v>Martin</v>
      </c>
      <c r="D17" s="103" t="str">
        <f>"Iantsa Elliot"</f>
        <v>Iantsa Elliot</v>
      </c>
      <c r="E17" s="33" t="e" cm="1">
        <f t="array" aca="1" ref="E17" ca="1">INDIRECT(B17&amp;"!E60")</f>
        <v>#REF!</v>
      </c>
      <c r="G17" s="36" t="str">
        <f t="shared" si="0"/>
        <v>2435824</v>
      </c>
      <c r="H17" s="37" t="e">
        <f t="shared" ca="1" si="1"/>
        <v>#REF!</v>
      </c>
    </row>
    <row r="18" spans="2:8" x14ac:dyDescent="0.3">
      <c r="B18" s="36" t="str">
        <f>"2243136"</f>
        <v>2243136</v>
      </c>
      <c r="C18" s="103" t="str">
        <f>"McDougall"</f>
        <v>McDougall</v>
      </c>
      <c r="D18" s="103" t="str">
        <f>"Josh"</f>
        <v>Josh</v>
      </c>
      <c r="E18" s="33" t="e" cm="1">
        <f t="array" aca="1" ref="E18" ca="1">INDIRECT(B18&amp;"!E60")</f>
        <v>#REF!</v>
      </c>
      <c r="G18" s="36" t="str">
        <f t="shared" si="0"/>
        <v>2243136</v>
      </c>
      <c r="H18" s="37" t="e">
        <f t="shared" ca="1" si="1"/>
        <v>#REF!</v>
      </c>
    </row>
    <row r="19" spans="2:8" x14ac:dyDescent="0.3">
      <c r="B19" s="36" t="str">
        <f>"2144382"</f>
        <v>2144382</v>
      </c>
      <c r="C19" s="103" t="str">
        <f>"Nguyen"</f>
        <v>Nguyen</v>
      </c>
      <c r="D19" s="103" t="str">
        <f>"Tat Thang"</f>
        <v>Tat Thang</v>
      </c>
      <c r="E19" s="33" t="e" cm="1">
        <f t="array" aca="1" ref="E19" ca="1">INDIRECT(B19&amp;"!E60")</f>
        <v>#REF!</v>
      </c>
      <c r="G19" s="36" t="str">
        <f t="shared" si="0"/>
        <v>2144382</v>
      </c>
      <c r="H19" s="37" t="e">
        <f t="shared" ca="1" si="1"/>
        <v>#REF!</v>
      </c>
    </row>
    <row r="20" spans="2:8" x14ac:dyDescent="0.3">
      <c r="B20" s="36" t="str">
        <f>"2435947"</f>
        <v>2435947</v>
      </c>
      <c r="C20" s="103" t="str">
        <f>"Nguyen"</f>
        <v>Nguyen</v>
      </c>
      <c r="D20" s="103" t="str">
        <f>"Thanh Nam"</f>
        <v>Thanh Nam</v>
      </c>
      <c r="E20" s="33" t="e" cm="1">
        <f t="array" aca="1" ref="E20" ca="1">INDIRECT(B20&amp;"!E60")</f>
        <v>#REF!</v>
      </c>
      <c r="G20" s="36" t="str">
        <f t="shared" si="0"/>
        <v>2435947</v>
      </c>
      <c r="H20" s="37" t="e">
        <f t="shared" ca="1" si="1"/>
        <v>#REF!</v>
      </c>
    </row>
    <row r="21" spans="2:8" x14ac:dyDescent="0.3">
      <c r="B21" s="36" t="str">
        <f>"1838739"</f>
        <v>1838739</v>
      </c>
      <c r="C21" s="103" t="str">
        <f>"Paquin"</f>
        <v>Paquin</v>
      </c>
      <c r="D21" s="103" t="str">
        <f>"Jérémie"</f>
        <v>Jérémie</v>
      </c>
      <c r="E21" s="33" t="e" cm="1">
        <f t="array" aca="1" ref="E21" ca="1">INDIRECT(B21&amp;"!E60")</f>
        <v>#REF!</v>
      </c>
      <c r="G21" s="36" t="str">
        <f t="shared" si="0"/>
        <v>1838739</v>
      </c>
      <c r="H21" s="37" t="e">
        <f t="shared" ca="1" si="1"/>
        <v>#REF!</v>
      </c>
    </row>
    <row r="22" spans="2:8" x14ac:dyDescent="0.3">
      <c r="B22" s="36" t="str">
        <f>"2437527"</f>
        <v>2437527</v>
      </c>
      <c r="C22" s="103" t="str">
        <f>"Paradis"</f>
        <v>Paradis</v>
      </c>
      <c r="D22" s="103" t="str">
        <f>"Charly"</f>
        <v>Charly</v>
      </c>
      <c r="E22" s="33" t="e" cm="1">
        <f t="array" aca="1" ref="E22" ca="1">INDIRECT(B22&amp;"!E60")</f>
        <v>#REF!</v>
      </c>
      <c r="G22" s="36" t="str">
        <f t="shared" si="0"/>
        <v>2437527</v>
      </c>
      <c r="H22" s="37" t="e">
        <f t="shared" ca="1" si="1"/>
        <v>#REF!</v>
      </c>
    </row>
    <row r="23" spans="2:8" x14ac:dyDescent="0.3">
      <c r="B23" s="36" t="str">
        <f>"2438397"</f>
        <v>2438397</v>
      </c>
      <c r="C23" s="103" t="str">
        <f>"Paré"</f>
        <v>Paré</v>
      </c>
      <c r="D23" s="103" t="str">
        <f>"Pierre-Éloi"</f>
        <v>Pierre-Éloi</v>
      </c>
      <c r="E23" s="33" t="e" cm="1">
        <f t="array" aca="1" ref="E23" ca="1">INDIRECT(B23&amp;"!E60")</f>
        <v>#REF!</v>
      </c>
      <c r="G23" s="36" t="str">
        <f t="shared" si="0"/>
        <v>2438397</v>
      </c>
      <c r="H23" s="37" t="e">
        <f t="shared" ca="1" si="1"/>
        <v>#REF!</v>
      </c>
    </row>
    <row r="24" spans="2:8" x14ac:dyDescent="0.3">
      <c r="B24" s="36" t="str">
        <f>"2348505"</f>
        <v>2348505</v>
      </c>
      <c r="C24" s="103" t="str">
        <f>"Roberge"</f>
        <v>Roberge</v>
      </c>
      <c r="D24" s="103" t="str">
        <f>"Félix"</f>
        <v>Félix</v>
      </c>
      <c r="E24" s="33" t="e" cm="1">
        <f t="array" aca="1" ref="E24" ca="1">INDIRECT(B24&amp;"!E60")</f>
        <v>#REF!</v>
      </c>
      <c r="G24" s="36" t="str">
        <f t="shared" si="0"/>
        <v>2348505</v>
      </c>
      <c r="H24" s="37" t="e">
        <f t="shared" ca="1" si="1"/>
        <v>#REF!</v>
      </c>
    </row>
    <row r="25" spans="2:8" x14ac:dyDescent="0.3">
      <c r="B25" s="36" t="str">
        <f>"2460571"</f>
        <v>2460571</v>
      </c>
      <c r="C25" s="103" t="str">
        <f>"Robineau"</f>
        <v>Robineau</v>
      </c>
      <c r="D25" s="103" t="str">
        <f>"Dominick"</f>
        <v>Dominick</v>
      </c>
      <c r="E25" s="33" t="e" cm="1">
        <f t="array" aca="1" ref="E25" ca="1">INDIRECT(B25&amp;"!E60")</f>
        <v>#REF!</v>
      </c>
      <c r="G25" s="36" t="str">
        <f t="shared" si="0"/>
        <v>2460571</v>
      </c>
      <c r="H25" s="37" t="e">
        <f t="shared" ca="1" si="1"/>
        <v>#REF!</v>
      </c>
    </row>
    <row r="26" spans="2:8" x14ac:dyDescent="0.3">
      <c r="B26" s="36" t="str">
        <f>"2436341"</f>
        <v>2436341</v>
      </c>
      <c r="C26" s="103" t="str">
        <f>"Rodrigue"</f>
        <v>Rodrigue</v>
      </c>
      <c r="D26" s="103" t="str">
        <f>"Samuel"</f>
        <v>Samuel</v>
      </c>
      <c r="E26" s="33" t="e" cm="1">
        <f t="array" aca="1" ref="E26" ca="1">INDIRECT(B26&amp;"!E60")</f>
        <v>#REF!</v>
      </c>
      <c r="G26" s="36" t="str">
        <f t="shared" si="0"/>
        <v>2436341</v>
      </c>
      <c r="H26" s="37" t="e">
        <f t="shared" ca="1" si="1"/>
        <v>#REF!</v>
      </c>
    </row>
    <row r="27" spans="2:8" ht="15" thickBot="1" x14ac:dyDescent="0.35">
      <c r="B27" s="39" t="str">
        <f>"2461370"</f>
        <v>2461370</v>
      </c>
      <c r="C27" s="104" t="str">
        <f>"Simms"</f>
        <v>Simms</v>
      </c>
      <c r="D27" s="104" t="str">
        <f>"Jérémy"</f>
        <v>Jérémy</v>
      </c>
      <c r="E27" s="38" t="e" cm="1">
        <f t="array" aca="1" ref="E27" ca="1">INDIRECT(B27&amp;"!E60")</f>
        <v>#REF!</v>
      </c>
      <c r="G27" s="36" t="str">
        <f t="shared" si="0"/>
        <v>2461370</v>
      </c>
      <c r="H27" s="37" t="e">
        <f t="shared" ca="1" si="1"/>
        <v>#REF!</v>
      </c>
    </row>
    <row r="28" spans="2:8" ht="15" thickBot="1" x14ac:dyDescent="0.35"/>
    <row r="29" spans="2:8" x14ac:dyDescent="0.3">
      <c r="B29" s="40" t="s">
        <v>65</v>
      </c>
      <c r="C29" s="100"/>
      <c r="D29" s="41"/>
      <c r="E29" s="42" t="e">
        <f ca="1">AVERAGE(E3:E27)</f>
        <v>#REF!</v>
      </c>
    </row>
    <row r="30" spans="2:8" x14ac:dyDescent="0.3">
      <c r="B30" s="43" t="s">
        <v>66</v>
      </c>
      <c r="C30" s="101"/>
      <c r="D30" s="44"/>
      <c r="E30" s="45" t="e">
        <f ca="1">MEDIAN(E3:E27)</f>
        <v>#REF!</v>
      </c>
    </row>
    <row r="31" spans="2:8" ht="15" thickBot="1" x14ac:dyDescent="0.35">
      <c r="B31" s="46" t="s">
        <v>67</v>
      </c>
      <c r="C31" s="102"/>
      <c r="D31" s="47"/>
      <c r="E31" s="48" t="e">
        <f ca="1">_xlfn.STDEV.S(E3:E27)</f>
        <v>#REF!</v>
      </c>
    </row>
  </sheetData>
  <mergeCells count="1">
    <mergeCell ref="G2:H2"/>
  </mergeCells>
  <conditionalFormatting sqref="E3:E27">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27D7-D794-4772-8F8E-29E6E93B064D}">
  <dimension ref="B2:C11"/>
  <sheetViews>
    <sheetView workbookViewId="0">
      <selection activeCell="F20" sqref="F20"/>
    </sheetView>
  </sheetViews>
  <sheetFormatPr baseColWidth="10" defaultRowHeight="14.4" x14ac:dyDescent="0.3"/>
  <cols>
    <col min="1" max="1" width="3.33203125" customWidth="1"/>
    <col min="2" max="3" width="15.6640625" customWidth="1"/>
  </cols>
  <sheetData>
    <row r="2" spans="2:3" x14ac:dyDescent="0.3">
      <c r="B2" s="19" t="s">
        <v>11</v>
      </c>
      <c r="C2" s="19" t="s">
        <v>4</v>
      </c>
    </row>
    <row r="3" spans="2:3" x14ac:dyDescent="0.3">
      <c r="B3" t="s">
        <v>6</v>
      </c>
      <c r="C3" s="20">
        <v>1</v>
      </c>
    </row>
    <row r="4" spans="2:3" x14ac:dyDescent="0.3">
      <c r="B4" t="s">
        <v>14</v>
      </c>
      <c r="C4" s="20">
        <v>0.8</v>
      </c>
    </row>
    <row r="5" spans="2:3" x14ac:dyDescent="0.3">
      <c r="B5" t="s">
        <v>15</v>
      </c>
      <c r="C5" s="20">
        <v>0.5</v>
      </c>
    </row>
    <row r="6" spans="2:3" x14ac:dyDescent="0.3">
      <c r="B6" t="s">
        <v>16</v>
      </c>
      <c r="C6" s="20">
        <v>0.25</v>
      </c>
    </row>
    <row r="7" spans="2:3" x14ac:dyDescent="0.3">
      <c r="B7" t="s">
        <v>17</v>
      </c>
      <c r="C7" s="20">
        <v>0</v>
      </c>
    </row>
    <row r="9" spans="2:3" x14ac:dyDescent="0.3">
      <c r="B9" s="19" t="s">
        <v>11</v>
      </c>
      <c r="C9" s="19" t="s">
        <v>4</v>
      </c>
    </row>
    <row r="10" spans="2:3" x14ac:dyDescent="0.3">
      <c r="B10" s="26" t="b">
        <v>1</v>
      </c>
      <c r="C10" s="20">
        <v>1</v>
      </c>
    </row>
    <row r="11" spans="2:3" x14ac:dyDescent="0.3">
      <c r="B11" s="26" t="b">
        <v>0</v>
      </c>
      <c r="C11" s="2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71BB1CD248FC4986329F4028F9984A" ma:contentTypeVersion="4" ma:contentTypeDescription="Crée un document." ma:contentTypeScope="" ma:versionID="c933380a8b1b6f10370905290a6922ca">
  <xsd:schema xmlns:xsd="http://www.w3.org/2001/XMLSchema" xmlns:xs="http://www.w3.org/2001/XMLSchema" xmlns:p="http://schemas.microsoft.com/office/2006/metadata/properties" xmlns:ns2="a9b3ddd2-1dbc-4769-9428-00c9f4f9f6f9" targetNamespace="http://schemas.microsoft.com/office/2006/metadata/properties" ma:root="true" ma:fieldsID="a7407be6e10e7bf5ec004f9b26102bcd" ns2:_="">
    <xsd:import namespace="a9b3ddd2-1dbc-4769-9428-00c9f4f9f6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b3ddd2-1dbc-4769-9428-00c9f4f9f6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37CA95-04BD-478B-8B9E-9A7C62DDF72C}">
  <ds:schemaRefs>
    <ds:schemaRef ds:uri="http://schemas.microsoft.com/sharepoint/v3/contenttype/forms"/>
  </ds:schemaRefs>
</ds:datastoreItem>
</file>

<file path=customXml/itemProps2.xml><?xml version="1.0" encoding="utf-8"?>
<ds:datastoreItem xmlns:ds="http://schemas.openxmlformats.org/officeDocument/2006/customXml" ds:itemID="{F96878B4-0D14-4677-B72A-B5A34E1F33CF}">
  <ds:schemaRefs>
    <ds:schemaRef ds:uri="http://purl.org/dc/dcmitype/"/>
    <ds:schemaRef ds:uri="http://purl.org/dc/terms/"/>
    <ds:schemaRef ds:uri="http://schemas.microsoft.com/office/2006/documentManagement/types"/>
    <ds:schemaRef ds:uri="d94d1a02-2f6d-41ed-8b1e-97df7feb53be"/>
    <ds:schemaRef ds:uri="http://schemas.microsoft.com/office/infopath/2007/PartnerControls"/>
    <ds:schemaRef ds:uri="http://schemas.microsoft.com/office/2006/metadata/properties"/>
    <ds:schemaRef ds:uri="http://schemas.openxmlformats.org/package/2006/metadata/core-properties"/>
    <ds:schemaRef ds:uri="204c8204-2ffe-41cb-bc13-cb49846f0e13"/>
    <ds:schemaRef ds:uri="http://www.w3.org/XML/1998/namespace"/>
    <ds:schemaRef ds:uri="http://purl.org/dc/elements/1.1/"/>
  </ds:schemaRefs>
</ds:datastoreItem>
</file>

<file path=customXml/itemProps3.xml><?xml version="1.0" encoding="utf-8"?>
<ds:datastoreItem xmlns:ds="http://schemas.openxmlformats.org/officeDocument/2006/customXml" ds:itemID="{727C1F4E-CF2F-48D7-813F-72F16F7263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b3ddd2-1dbc-4769-9428-00c9f4f9f6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10</vt:i4>
      </vt:variant>
    </vt:vector>
  </HeadingPairs>
  <TitlesOfParts>
    <vt:vector size="14" baseType="lpstr">
      <vt:lpstr>Mandat A</vt:lpstr>
      <vt:lpstr>Mandat B</vt:lpstr>
      <vt:lpstr>Notes</vt:lpstr>
      <vt:lpstr>Configuration</vt:lpstr>
      <vt:lpstr>Cotes</vt:lpstr>
      <vt:lpstr>CotesMatrice</vt:lpstr>
      <vt:lpstr>'Mandat A'!TotalCompétences</vt:lpstr>
      <vt:lpstr>'Mandat B'!TotalCompétences</vt:lpstr>
      <vt:lpstr>'Mandat A'!TotalFonctionalitées</vt:lpstr>
      <vt:lpstr>'Mandat B'!TotalFonctionalitées</vt:lpstr>
      <vt:lpstr>'Mandat A'!TotalPénalités</vt:lpstr>
      <vt:lpstr>'Mandat B'!TotalPénalités</vt:lpstr>
      <vt:lpstr>VraiFaux</vt:lpstr>
      <vt:lpstr>VraiFauxMatrice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Lemelin</dc:creator>
  <cp:lastModifiedBy>Vincent  Tremblay-Boucher</cp:lastModifiedBy>
  <dcterms:created xsi:type="dcterms:W3CDTF">2025-01-24T15:17:16Z</dcterms:created>
  <dcterms:modified xsi:type="dcterms:W3CDTF">2025-04-15T15:26:30Z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0x0101007871BB1CD248FC4986329F4028F9984A</vt:lpwstr>
  </property>
</Properties>
</file>